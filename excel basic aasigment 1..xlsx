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hil\OneDrive\Desktop\"/>
    </mc:Choice>
  </mc:AlternateContent>
  <xr:revisionPtr revIDLastSave="0" documentId="13_ncr:1_{F3BE4270-84A9-4DC9-A0A3-BBA1F302681C}" xr6:coauthVersionLast="47" xr6:coauthVersionMax="47" xr10:uidLastSave="{00000000-0000-0000-0000-000000000000}"/>
  <bookViews>
    <workbookView xWindow="-108" yWindow="-108" windowWidth="23256" windowHeight="12456" activeTab="1" xr2:uid="{72145A6F-14E3-4FC7-A5DB-D03101B4E668}"/>
  </bookViews>
  <sheets>
    <sheet name="Q1." sheetId="8" r:id="rId1"/>
    <sheet name="Q.2" sheetId="1" r:id="rId2"/>
    <sheet name="Q.3" sheetId="2" r:id="rId3"/>
    <sheet name="Q.4 ,5, 6 ,8" sheetId="3" r:id="rId4"/>
    <sheet name="Q7." sheetId="7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2" i="1"/>
  <c r="O18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3" i="3"/>
  <c r="H4" i="3"/>
  <c r="H2" i="3"/>
  <c r="N7" i="3"/>
  <c r="E12" i="2"/>
</calcChain>
</file>

<file path=xl/sharedStrings.xml><?xml version="1.0" encoding="utf-8"?>
<sst xmlns="http://schemas.openxmlformats.org/spreadsheetml/2006/main" count="222" uniqueCount="119">
  <si>
    <r>
      <rPr>
        <b/>
        <sz val="14"/>
        <color rgb="FF7030A0"/>
        <rFont val="Calibri"/>
        <family val="2"/>
        <scheme val="minor"/>
      </rPr>
      <t xml:space="preserve">Question 2. </t>
    </r>
    <r>
      <rPr>
        <b/>
        <sz val="14"/>
        <color rgb="FFFF0000"/>
        <rFont val="Calibri"/>
        <family val="2"/>
        <scheme val="minor"/>
      </rPr>
      <t xml:space="preserve"> Write a formula to calculate the total sales of Car and Bicyle only ?</t>
    </r>
  </si>
  <si>
    <t>Vehicle</t>
  </si>
  <si>
    <t>Price</t>
  </si>
  <si>
    <t>Car</t>
  </si>
  <si>
    <t>Bicycle</t>
  </si>
  <si>
    <t>Autorikshaw</t>
  </si>
  <si>
    <t>Q3. Using the data below,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</si>
  <si>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</si>
  <si>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</si>
  <si>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</si>
  <si>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</si>
  <si>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</si>
  <si>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Averege sale of items price above 100 but less than 300 is :</t>
  </si>
  <si>
    <t>Answer:&gt;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</si>
  <si>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</si>
  <si>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</si>
  <si>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</si>
  <si>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</si>
  <si>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</si>
  <si>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</si>
  <si>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</si>
  <si>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</si>
  <si>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</si>
  <si>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</si>
  <si>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</si>
  <si>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</si>
  <si>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</si>
  <si>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</si>
  <si>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</si>
  <si>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</si>
  <si>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</si>
  <si>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</si>
  <si>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</si>
  <si>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</si>
  <si>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</si>
  <si>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</si>
  <si>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</si>
  <si>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</si>
  <si>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</si>
  <si>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</si>
  <si>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</si>
  <si>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</si>
  <si>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</si>
  <si>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</si>
  <si>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</si>
  <si>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</si>
  <si>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</si>
  <si>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</si>
  <si>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</si>
  <si>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</si>
  <si>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</si>
  <si>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</si>
  <si>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</si>
  <si>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</si>
  <si>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</si>
  <si>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</si>
  <si>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</si>
  <si>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</si>
  <si>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</si>
  <si>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</si>
  <si>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</si>
  <si>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</si>
  <si>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</si>
  <si>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</si>
  <si>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</si>
  <si>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</si>
  <si>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</si>
  <si>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</si>
  <si>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</si>
  <si>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</si>
  <si>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</si>
  <si>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</si>
  <si>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</si>
  <si>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</si>
  <si>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</si>
  <si>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</si>
  <si>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</si>
  <si>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</si>
  <si>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</si>
  <si>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</si>
  <si>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Customers recorded is :</t>
  </si>
  <si>
    <t>Answer =&gt; COUNTA(B2:B51)</t>
  </si>
  <si>
    <t>Answer =&gt; Column"H" ( Total sale for each row)</t>
  </si>
  <si>
    <r>
      <rPr>
        <b/>
        <u/>
        <sz val="14"/>
        <color rgb="FFFF0000"/>
        <rFont val="Calibri"/>
        <family val="2"/>
        <scheme val="minor"/>
      </rPr>
      <t>Question 6</t>
    </r>
    <r>
      <rPr>
        <b/>
        <sz val="14"/>
        <color rgb="FFFF0000"/>
        <rFont val="Calibri"/>
        <family val="2"/>
        <scheme val="minor"/>
      </rPr>
      <t xml:space="preserve"> =&gt; Calculate the total sales of Notebooks in the North region only</t>
    </r>
  </si>
  <si>
    <r>
      <rPr>
        <b/>
        <u/>
        <sz val="14"/>
        <color rgb="FFFF0000"/>
        <rFont val="Calibri"/>
        <family val="2"/>
        <scheme val="minor"/>
      </rPr>
      <t>Question 5</t>
    </r>
    <r>
      <rPr>
        <b/>
        <sz val="14"/>
        <color rgb="FFFF0000"/>
        <rFont val="Calibri"/>
        <family val="2"/>
        <scheme val="minor"/>
      </rPr>
      <t xml:space="preserve"> =&gt; Calculate the Total Sales for each row using a formula.</t>
    </r>
  </si>
  <si>
    <r>
      <rPr>
        <b/>
        <u/>
        <sz val="14"/>
        <color rgb="FFFF0000"/>
        <rFont val="Calibri"/>
        <family val="2"/>
        <scheme val="minor"/>
      </rPr>
      <t>Question4</t>
    </r>
    <r>
      <rPr>
        <b/>
        <sz val="14"/>
        <color rgb="FFFF0000"/>
        <rFont val="Calibri"/>
        <family val="2"/>
        <scheme val="minor"/>
      </rPr>
      <t xml:space="preserve"> =&gt; Count how many customer names are recorded</t>
    </r>
  </si>
  <si>
    <t>Answer =&gt; SUMIFS(I2:I51,D2:D51,"Notebook",C2:C51,"North")</t>
  </si>
  <si>
    <t>Sale of Notebook in the North Region is:</t>
  </si>
  <si>
    <t>Answer - Below</t>
  </si>
  <si>
    <t>Question 8 =&gt; Insert a line chart showing daily sales trend.</t>
  </si>
  <si>
    <t>Total sum of Car -</t>
  </si>
  <si>
    <t>Total sum of Bicycle -</t>
  </si>
  <si>
    <t>total sales of cars and bicycles are -</t>
  </si>
  <si>
    <t>Row Labels</t>
  </si>
  <si>
    <t>Grand Total</t>
  </si>
  <si>
    <t>Sum of Quantity * UnitPrice(total sale for each row</t>
  </si>
  <si>
    <t>Q1.</t>
  </si>
  <si>
    <t>Explain the difference between Relative , Absolute and Mixed Cell Referencing._x000B_</t>
  </si>
  <si>
    <t>Ans-</t>
  </si>
  <si>
    <t xml:space="preserve">Relative Cell Reference </t>
  </si>
  <si>
    <t>A relative reference is a cell reference that changes relative to the position of the formula when copied to another cell. It's like a "relative" address that adjusts based on the new location.</t>
  </si>
  <si>
    <t>Examples:</t>
  </si>
  <si>
    <t>- =A1 (if copied to B2, becomes =B2)</t>
  </si>
  <si>
    <t>- =SUM(A1:B2) (if copied to C3:D4, becomes =SUM(C3:D4))</t>
  </si>
  <si>
    <t>Absolute Cell Reference</t>
  </si>
  <si>
    <t>An absolute reference is a cell reference that remains fixed, even when a formula is copied to another cell. It's like an "absolute" address that doesn't change.</t>
  </si>
  <si>
    <t>- =$A$1 (remains =$A$1 wherever copied)</t>
  </si>
  <si>
    <t>- =A$1*$B$2 (the references to A1 and B2 remain fixed)</t>
  </si>
  <si>
    <t>Mixed Cell Reference</t>
  </si>
  <si>
    <t>A mixed reference has either the column or row fixed, while the other part is relative.</t>
  </si>
  <si>
    <t>- =$A1 (column A is fixed, row changes)</t>
  </si>
  <si>
    <t>- =A$1 (row 1 is fixed, column changes)</t>
  </si>
  <si>
    <t>- =SUM($A1:B$2) (column A and row 2 are fixed)</t>
  </si>
  <si>
    <t>The difference between Relative , Absolute and Mixed Cell Referencing._x000B_</t>
  </si>
  <si>
    <t>If you copy the formula in C3 to D4</t>
  </si>
  <si>
    <t>If Cell Reference is</t>
  </si>
  <si>
    <t>Relative (=A1+B1): becomes =B2+C2</t>
  </si>
  <si>
    <t>Absolute (=$A$1+$B$1): remains =$A$1+$B$1</t>
  </si>
  <si>
    <t>Mixed (=$A1+B$1): becomes =$A2+C$1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</si>
</sst>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2"/>
      <color theme="7" tint="-0.499984740745262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4"/>
      <color theme="9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7" xfId="0" applyFont="1" applyBorder="1"/>
    <xf numFmtId="0" fontId="7" fillId="0" borderId="0" xfId="0" applyFont="1"/>
    <xf numFmtId="0" fontId="8" fillId="6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8" fillId="6" borderId="12" xfId="0" applyFont="1" applyFill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2" fillId="2" borderId="0" xfId="0" applyFont="1" applyFill="1"/>
    <xf numFmtId="0" fontId="11" fillId="2" borderId="0" xfId="0" applyFont="1" applyFill="1"/>
    <xf numFmtId="0" fontId="16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indent="1"/>
    </xf>
    <xf numFmtId="0" fontId="0" fillId="8" borderId="0" xfId="0" applyFill="1" applyAlignment="1">
      <alignment horizontal="center"/>
    </xf>
    <xf numFmtId="0" fontId="2" fillId="0" borderId="0" xfId="0" applyFont="1"/>
    <xf numFmtId="0" fontId="17" fillId="0" borderId="0" xfId="0" applyFont="1"/>
    <xf numFmtId="0" fontId="2" fillId="9" borderId="13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13" fillId="0" borderId="0" xfId="0" applyFont="1"/>
    <xf numFmtId="0" fontId="13" fillId="0" borderId="0" xfId="0" pivotButton="1" applyFont="1"/>
    <xf numFmtId="0" fontId="13" fillId="0" borderId="0" xfId="0" applyFont="1" applyAlignment="1">
      <alignment horizontal="left"/>
    </xf>
    <xf numFmtId="0" fontId="13" fillId="0" borderId="0" xfId="0" applyNumberFormat="1" applyFont="1"/>
  </cellXfs>
  <cellStyles count="1">
    <cellStyle name="Normal" xfId="0" builtinId="0"/>
  </cellStyles>
  <dxfs count="7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accent6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chemeClr val="accent6"/>
                </a:solidFill>
                <a:latin typeface="Aptos Display" panose="020B0004020202020204" pitchFamily="34" charset="0"/>
              </a:rPr>
              <a:t>LINE TRENDS </a:t>
            </a:r>
          </a:p>
          <a:p>
            <a:pPr>
              <a:defRPr sz="1200">
                <a:solidFill>
                  <a:schemeClr val="accent6"/>
                </a:solidFill>
                <a:latin typeface="Aptos Display" panose="020B0004020202020204" pitchFamily="34" charset="0"/>
              </a:defRPr>
            </a:pPr>
            <a:r>
              <a:rPr lang="en-US" sz="1200">
                <a:solidFill>
                  <a:schemeClr val="accent6"/>
                </a:solidFill>
                <a:latin typeface="Aptos Display" panose="020B0004020202020204" pitchFamily="34" charset="0"/>
              </a:rPr>
              <a:t>SALES PER DAY</a:t>
            </a:r>
          </a:p>
        </c:rich>
      </c:tx>
      <c:layout>
        <c:manualLayout>
          <c:xMode val="edge"/>
          <c:yMode val="edge"/>
          <c:x val="0.41175264881187512"/>
          <c:y val="3.7516549369381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accent6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02187226596672E-2"/>
          <c:y val="0.15968759113444153"/>
          <c:w val="0.85002690288713911"/>
          <c:h val="0.59832276173811605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'Q.4 ,5, 6 ,8'!$G$2:$G$51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'Q.4 ,5, 6 ,8'!$H$2:$H$51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9-4DBB-A6A3-00EEEFB28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272816"/>
        <c:axId val="1987275216"/>
      </c:lineChart>
      <c:dateAx>
        <c:axId val="198727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6"/>
                    </a:solidFill>
                  </a:rPr>
                  <a:t>ORDER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75216"/>
        <c:crosses val="autoZero"/>
        <c:auto val="1"/>
        <c:lblOffset val="100"/>
        <c:baseTimeUnit val="days"/>
      </c:dateAx>
      <c:valAx>
        <c:axId val="198727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6"/>
                    </a:solidFill>
                  </a:rPr>
                  <a:t>TOTAL SALES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7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40334566612911"/>
          <c:y val="0.67565692919475562"/>
          <c:w val="0.29156125551195733"/>
          <c:h val="6.2223886837154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aasigment.xlsx]Q7.!PivotTable3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19822960028085"/>
          <c:y val="0.22583227981458071"/>
          <c:w val="0.79702404834745988"/>
          <c:h val="0.54740336661457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'Q7.'!$B$3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'Q7.'!$A$4:$A$9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'Q7.'!$B$4:$B$9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9-44E5-81BD-9BA7873297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8774895"/>
        <c:axId val="1168791695"/>
      </c:barChart>
      <c:catAx>
        <c:axId val="116877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91695"/>
        <c:crosses val="autoZero"/>
        <c:auto val="1"/>
        <c:lblAlgn val="ctr"/>
        <c:lblOffset val="100"/>
        <c:noMultiLvlLbl val="0"/>
      </c:catAx>
      <c:valAx>
        <c:axId val="11687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774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25</xdr:row>
      <xdr:rowOff>91320</xdr:rowOff>
    </xdr:from>
    <xdr:to>
      <xdr:col>0</xdr:col>
      <xdr:colOff>549000</xdr:colOff>
      <xdr:row>25</xdr:row>
      <xdr:rowOff>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EAF4FCE-C7D3-42DC-B065-17A403BB7E52}"/>
                </a:ext>
              </a:extLst>
            </xdr14:cNvPr>
            <xdr14:cNvContentPartPr/>
          </xdr14:nvContentPartPr>
          <xdr14:nvPr macro=""/>
          <xdr14:xfrm>
            <a:off x="548640" y="496050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03F8CCC-E0B6-126F-7AC7-B15D6F4E72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2520" y="49543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556200</xdr:colOff>
      <xdr:row>26</xdr:row>
      <xdr:rowOff>129480</xdr:rowOff>
    </xdr:from>
    <xdr:to>
      <xdr:col>0</xdr:col>
      <xdr:colOff>556560</xdr:colOff>
      <xdr:row>26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B76C782-D3B1-4126-B204-79E6E62FF3D2}"/>
                </a:ext>
              </a:extLst>
            </xdr14:cNvPr>
            <xdr14:cNvContentPartPr/>
          </xdr14:nvContentPartPr>
          <xdr14:nvPr macro=""/>
          <xdr14:xfrm>
            <a:off x="556200" y="51815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44719D1-AF13-C548-7A6A-E787E23AAB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0080" y="51754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556200</xdr:colOff>
      <xdr:row>27</xdr:row>
      <xdr:rowOff>106440</xdr:rowOff>
    </xdr:from>
    <xdr:to>
      <xdr:col>0</xdr:col>
      <xdr:colOff>556560</xdr:colOff>
      <xdr:row>27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A011B64-3DF9-4342-9404-FD524AB56722}"/>
                </a:ext>
              </a:extLst>
            </xdr14:cNvPr>
            <xdr14:cNvContentPartPr/>
          </xdr14:nvContentPartPr>
          <xdr14:nvPr macro=""/>
          <xdr14:xfrm>
            <a:off x="556200" y="53413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ED7B285-60CC-4AA4-ABC4-2685BCA15A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0080" y="53352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</xdr:row>
      <xdr:rowOff>91440</xdr:rowOff>
    </xdr:from>
    <xdr:to>
      <xdr:col>20</xdr:col>
      <xdr:colOff>495300</xdr:colOff>
      <xdr:row>42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A5BFD-9883-178D-CDDE-122E232EB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5</xdr:row>
      <xdr:rowOff>30480</xdr:rowOff>
    </xdr:from>
    <xdr:to>
      <xdr:col>10</xdr:col>
      <xdr:colOff>411480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92138-037A-9EF7-EE71-7A2B001B6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03:39:43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03:39:4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1T03:39:43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" refreshedDate="46002.365795717589" createdVersion="8" refreshedVersion="8" minRefreshableVersion="3" recordCount="50" xr:uid="{32C5E836-42D8-4E5B-9437-6C23426746E2}">
  <cacheSource type="worksheet">
    <worksheetSource ref="A1:H51" sheet="Q.4 ,5, 6 ,8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Quantity * UnitPrice(total sale for each row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1-05T00:00:00"/>
    <n v="500"/>
  </r>
  <r>
    <n v="1002"/>
    <s v="Neha Verma"/>
    <s v="South"/>
    <x v="1"/>
    <n v="20"/>
    <n v="10"/>
    <d v="2024-01-06T00:00:00"/>
    <n v="200"/>
  </r>
  <r>
    <n v="1003"/>
    <s v="Rahul Singh"/>
    <s v="East"/>
    <x v="2"/>
    <n v="15"/>
    <n v="25"/>
    <d v="2024-01-07T00:00:00"/>
    <n v="375"/>
  </r>
  <r>
    <n v="1004"/>
    <s v="Pooja Mehta"/>
    <s v="West"/>
    <x v="0"/>
    <n v="5"/>
    <n v="50"/>
    <d v="2024-01-08T00:00:00"/>
    <n v="250"/>
  </r>
  <r>
    <n v="1005"/>
    <s v="Ankit Jain"/>
    <s v="North"/>
    <x v="3"/>
    <n v="30"/>
    <n v="5"/>
    <d v="2024-01-10T00:00:00"/>
    <n v="150"/>
  </r>
  <r>
    <n v="1006"/>
    <s v="Sneha Patel"/>
    <s v="South"/>
    <x v="0"/>
    <n v="12"/>
    <n v="50"/>
    <d v="2024-01-11T00:00:00"/>
    <n v="600"/>
  </r>
  <r>
    <n v="1007"/>
    <s v="Vikas Gupta"/>
    <s v="East"/>
    <x v="4"/>
    <n v="25"/>
    <n v="8"/>
    <d v="2024-01-13T00:00:00"/>
    <n v="200"/>
  </r>
  <r>
    <n v="1008"/>
    <s v="Meera Nair"/>
    <s v="West"/>
    <x v="1"/>
    <n v="18"/>
    <n v="10"/>
    <d v="2024-01-15T00:00:00"/>
    <n v="180"/>
  </r>
  <r>
    <n v="1009"/>
    <s v="Anjali Rao"/>
    <s v="North"/>
    <x v="2"/>
    <n v="22"/>
    <n v="25"/>
    <d v="2024-01-17T00:00:00"/>
    <n v="550"/>
  </r>
  <r>
    <n v="1010"/>
    <s v="Manoj Das"/>
    <s v="South"/>
    <x v="0"/>
    <n v="8"/>
    <n v="50"/>
    <d v="2024-01-18T00:00:00"/>
    <n v="400"/>
  </r>
  <r>
    <n v="1011"/>
    <s v="Ritika Sen"/>
    <s v="East"/>
    <x v="3"/>
    <n v="40"/>
    <n v="5"/>
    <d v="2024-01-19T00:00:00"/>
    <n v="200"/>
  </r>
  <r>
    <n v="1012"/>
    <s v="Karan Malhotra"/>
    <s v="West"/>
    <x v="4"/>
    <n v="35"/>
    <n v="8"/>
    <d v="2024-01-20T00:00:00"/>
    <n v="280"/>
  </r>
  <r>
    <n v="1013"/>
    <s v="Aryan Joshi"/>
    <s v="North"/>
    <x v="0"/>
    <n v="14"/>
    <n v="50"/>
    <d v="2024-01-22T00:00:00"/>
    <n v="700"/>
  </r>
  <r>
    <n v="1014"/>
    <s v="Divya Kapoor"/>
    <s v="South"/>
    <x v="1"/>
    <n v="28"/>
    <n v="10"/>
    <d v="2024-01-23T00:00:00"/>
    <n v="280"/>
  </r>
  <r>
    <n v="1015"/>
    <s v="Sahil Arora"/>
    <s v="East"/>
    <x v="2"/>
    <n v="12"/>
    <n v="25"/>
    <d v="2024-01-24T00:00:00"/>
    <n v="300"/>
  </r>
  <r>
    <n v="1016"/>
    <s v="Muskan Jain"/>
    <s v="West"/>
    <x v="3"/>
    <n v="25"/>
    <n v="5"/>
    <d v="2024-01-26T00:00:00"/>
    <n v="125"/>
  </r>
  <r>
    <n v="1017"/>
    <s v="Rohan Gupta"/>
    <s v="North"/>
    <x v="4"/>
    <n v="20"/>
    <n v="8"/>
    <d v="2024-01-28T00:00:00"/>
    <n v="160"/>
  </r>
  <r>
    <n v="1018"/>
    <s v="Nidhi Sharma"/>
    <s v="South"/>
    <x v="0"/>
    <n v="10"/>
    <n v="50"/>
    <d v="2024-01-29T00:00:00"/>
    <n v="500"/>
  </r>
  <r>
    <n v="1019"/>
    <s v="Tarun Verma"/>
    <s v="East"/>
    <x v="1"/>
    <n v="15"/>
    <n v="10"/>
    <d v="2024-01-30T00:00:00"/>
    <n v="150"/>
  </r>
  <r>
    <n v="1020"/>
    <s v="Simran Kaur"/>
    <s v="West"/>
    <x v="2"/>
    <n v="18"/>
    <n v="25"/>
    <d v="2024-02-01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2-03T00:00:00"/>
    <n v="175"/>
  </r>
  <r>
    <n v="1023"/>
    <s v="Aditya Singh"/>
    <s v="East"/>
    <x v="4"/>
    <n v="30"/>
    <n v="8"/>
    <d v="2024-02-04T00:00:00"/>
    <n v="240"/>
  </r>
  <r>
    <n v="1024"/>
    <s v="Shreya Nair"/>
    <s v="West"/>
    <x v="0"/>
    <n v="11"/>
    <n v="50"/>
    <d v="2024-02-06T00:00:00"/>
    <n v="550"/>
  </r>
  <r>
    <n v="1025"/>
    <s v="Sanjay Kumar"/>
    <s v="North"/>
    <x v="1"/>
    <n v="14"/>
    <n v="10"/>
    <d v="2024-02-07T00:00:00"/>
    <n v="140"/>
  </r>
  <r>
    <n v="1026"/>
    <s v="Aarti Sharma"/>
    <s v="South"/>
    <x v="2"/>
    <n v="16"/>
    <n v="25"/>
    <d v="2024-02-08T00:00:00"/>
    <n v="400"/>
  </r>
  <r>
    <n v="1027"/>
    <s v="Rajesh Patel"/>
    <s v="East"/>
    <x v="3"/>
    <n v="22"/>
    <n v="5"/>
    <d v="2024-02-09T00:00:00"/>
    <n v="110"/>
  </r>
  <r>
    <n v="1028"/>
    <s v="Preeti Joshi"/>
    <s v="West"/>
    <x v="4"/>
    <n v="27"/>
    <n v="8"/>
    <d v="2024-02-10T00:00:00"/>
    <n v="216"/>
  </r>
  <r>
    <n v="1029"/>
    <s v="Anurag Mishra"/>
    <s v="North"/>
    <x v="0"/>
    <n v="13"/>
    <n v="50"/>
    <d v="2024-02-12T00:00:00"/>
    <n v="650"/>
  </r>
  <r>
    <n v="1030"/>
    <s v="Sanya Kapoor"/>
    <s v="South"/>
    <x v="1"/>
    <n v="32"/>
    <n v="10"/>
    <d v="2024-02-13T00:00:00"/>
    <n v="320"/>
  </r>
  <r>
    <n v="1031"/>
    <s v="Harsh Yadav"/>
    <s v="East"/>
    <x v="2"/>
    <n v="10"/>
    <n v="25"/>
    <d v="2024-02-14T00:00:00"/>
    <n v="250"/>
  </r>
  <r>
    <n v="1032"/>
    <s v="Kajal Rani"/>
    <s v="West"/>
    <x v="3"/>
    <n v="18"/>
    <n v="5"/>
    <d v="2024-02-16T00:00:00"/>
    <n v="90"/>
  </r>
  <r>
    <n v="1033"/>
    <s v="Varun Sharma"/>
    <s v="North"/>
    <x v="4"/>
    <n v="22"/>
    <n v="8"/>
    <d v="2024-02-17T00:00:00"/>
    <n v="176"/>
  </r>
  <r>
    <n v="1034"/>
    <s v="Swati Arora"/>
    <s v="South"/>
    <x v="0"/>
    <n v="17"/>
    <n v="50"/>
    <d v="2024-02-18T00:00:00"/>
    <n v="850"/>
  </r>
  <r>
    <n v="1035"/>
    <s v="Akhil Jain"/>
    <s v="East"/>
    <x v="1"/>
    <n v="19"/>
    <n v="10"/>
    <d v="2024-02-19T00:00:00"/>
    <n v="190"/>
  </r>
  <r>
    <n v="1036"/>
    <s v="Priyanka Das"/>
    <s v="West"/>
    <x v="2"/>
    <n v="15"/>
    <n v="25"/>
    <d v="2024-02-21T00:00:00"/>
    <n v="375"/>
  </r>
  <r>
    <n v="1037"/>
    <s v="Ravi Nair"/>
    <s v="North"/>
    <x v="3"/>
    <n v="28"/>
    <n v="5"/>
    <d v="2024-02-22T00:00:00"/>
    <n v="140"/>
  </r>
  <r>
    <n v="1038"/>
    <s v="Komal Singh"/>
    <s v="South"/>
    <x v="4"/>
    <n v="24"/>
    <n v="8"/>
    <d v="2024-02-23T00:00:00"/>
    <n v="192"/>
  </r>
  <r>
    <n v="1039"/>
    <s v="Ayesha Khan"/>
    <s v="East"/>
    <x v="0"/>
    <n v="16"/>
    <n v="50"/>
    <d v="2024-02-25T00:00:00"/>
    <n v="800"/>
  </r>
  <r>
    <n v="1040"/>
    <s v="Arjun Mehta"/>
    <s v="West"/>
    <x v="1"/>
    <n v="27"/>
    <n v="10"/>
    <d v="2024-02-26T00:00:00"/>
    <n v="270"/>
  </r>
  <r>
    <n v="1041"/>
    <s v="Sonali Gupta"/>
    <s v="North"/>
    <x v="2"/>
    <n v="21"/>
    <n v="25"/>
    <d v="2024-02-27T00:00:00"/>
    <n v="525"/>
  </r>
  <r>
    <n v="1042"/>
    <s v="Neeraj Kapoor"/>
    <s v="South"/>
    <x v="3"/>
    <n v="30"/>
    <n v="5"/>
    <d v="2024-02-28T00:00:00"/>
    <n v="150"/>
  </r>
  <r>
    <n v="1043"/>
    <s v="Shruti Sharma"/>
    <s v="East"/>
    <x v="4"/>
    <n v="26"/>
    <n v="8"/>
    <d v="2024-03-01T00:00:00"/>
    <n v="208"/>
  </r>
  <r>
    <n v="1044"/>
    <s v="Yash Arora"/>
    <s v="West"/>
    <x v="0"/>
    <n v="14"/>
    <n v="50"/>
    <d v="2024-03-02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3-04T00:00:00"/>
    <n v="425"/>
  </r>
  <r>
    <n v="1047"/>
    <s v="Sonia Verma"/>
    <s v="East"/>
    <x v="3"/>
    <n v="19"/>
    <n v="5"/>
    <d v="2024-03-05T00:00:00"/>
    <n v="95"/>
  </r>
  <r>
    <n v="1048"/>
    <s v="Kunal Singh"/>
    <s v="West"/>
    <x v="4"/>
    <n v="32"/>
    <n v="8"/>
    <d v="2024-03-06T00:00:00"/>
    <n v="256"/>
  </r>
  <r>
    <n v="1049"/>
    <s v="Ritika Jain"/>
    <s v="North"/>
    <x v="0"/>
    <n v="12"/>
    <n v="50"/>
    <d v="2024-03-07T00:00:00"/>
    <n v="600"/>
  </r>
  <r>
    <n v="1050"/>
    <s v="Vivek Malhotra"/>
    <s v="South"/>
    <x v="1"/>
    <n v="25"/>
    <n v="10"/>
    <d v="2024-03-08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0986E-0C49-4DE2-A908-D7D64D3D749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numFmtId="14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* UnitPrice(total sale for each row" fld="7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EA60-2FE2-4B4F-BE89-8BC46A410ED7}">
  <dimension ref="A2:D28"/>
  <sheetViews>
    <sheetView workbookViewId="0">
      <selection activeCell="G14" sqref="G14"/>
    </sheetView>
  </sheetViews>
  <sheetFormatPr defaultRowHeight="14.4" x14ac:dyDescent="0.3"/>
  <cols>
    <col min="4" max="4" width="10.21875" customWidth="1"/>
  </cols>
  <sheetData>
    <row r="2" spans="1:2" ht="21" x14ac:dyDescent="0.4">
      <c r="A2" s="41" t="s">
        <v>96</v>
      </c>
      <c r="B2" s="42" t="s">
        <v>97</v>
      </c>
    </row>
    <row r="4" spans="1:2" ht="18" x14ac:dyDescent="0.35">
      <c r="A4" s="41" t="s">
        <v>98</v>
      </c>
      <c r="B4" s="43" t="s">
        <v>99</v>
      </c>
    </row>
    <row r="5" spans="1:2" ht="15.6" x14ac:dyDescent="0.3">
      <c r="B5" s="44" t="s">
        <v>100</v>
      </c>
    </row>
    <row r="6" spans="1:2" x14ac:dyDescent="0.3">
      <c r="B6" t="s">
        <v>101</v>
      </c>
    </row>
    <row r="7" spans="1:2" x14ac:dyDescent="0.3">
      <c r="B7" t="s">
        <v>102</v>
      </c>
    </row>
    <row r="8" spans="1:2" x14ac:dyDescent="0.3">
      <c r="B8" t="s">
        <v>103</v>
      </c>
    </row>
    <row r="10" spans="1:2" ht="18" x14ac:dyDescent="0.35">
      <c r="B10" s="43" t="s">
        <v>104</v>
      </c>
    </row>
    <row r="11" spans="1:2" x14ac:dyDescent="0.3">
      <c r="B11" t="s">
        <v>105</v>
      </c>
    </row>
    <row r="12" spans="1:2" x14ac:dyDescent="0.3">
      <c r="B12" t="s">
        <v>101</v>
      </c>
    </row>
    <row r="13" spans="1:2" x14ac:dyDescent="0.3">
      <c r="B13" t="s">
        <v>106</v>
      </c>
    </row>
    <row r="14" spans="1:2" x14ac:dyDescent="0.3">
      <c r="B14" t="s">
        <v>107</v>
      </c>
    </row>
    <row r="16" spans="1:2" ht="18" x14ac:dyDescent="0.35">
      <c r="B16" s="43" t="s">
        <v>108</v>
      </c>
    </row>
    <row r="17" spans="2:4" x14ac:dyDescent="0.3">
      <c r="B17" t="s">
        <v>109</v>
      </c>
    </row>
    <row r="18" spans="2:4" x14ac:dyDescent="0.3">
      <c r="B18" t="s">
        <v>101</v>
      </c>
    </row>
    <row r="19" spans="2:4" x14ac:dyDescent="0.3">
      <c r="B19" t="s">
        <v>110</v>
      </c>
    </row>
    <row r="20" spans="2:4" x14ac:dyDescent="0.3">
      <c r="B20" t="s">
        <v>111</v>
      </c>
    </row>
    <row r="21" spans="2:4" x14ac:dyDescent="0.3">
      <c r="B21" t="s">
        <v>112</v>
      </c>
    </row>
    <row r="23" spans="2:4" ht="18" x14ac:dyDescent="0.35">
      <c r="B23" s="43" t="s">
        <v>113</v>
      </c>
    </row>
    <row r="25" spans="2:4" ht="15.6" x14ac:dyDescent="0.3">
      <c r="B25" s="44" t="s">
        <v>114</v>
      </c>
    </row>
    <row r="26" spans="2:4" x14ac:dyDescent="0.3">
      <c r="B26" t="s">
        <v>115</v>
      </c>
      <c r="D26" t="s">
        <v>116</v>
      </c>
    </row>
    <row r="27" spans="2:4" x14ac:dyDescent="0.3">
      <c r="B27" t="s">
        <v>115</v>
      </c>
      <c r="D27" t="s">
        <v>117</v>
      </c>
    </row>
    <row r="28" spans="2:4" x14ac:dyDescent="0.3">
      <c r="B28" t="s">
        <v>115</v>
      </c>
      <c r="D28" t="s">
        <v>118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E2AA-4016-4E08-8AB7-04DA0EF3804B}">
  <dimension ref="B4:L14"/>
  <sheetViews>
    <sheetView tabSelected="1" zoomScale="140" zoomScaleNormal="140" workbookViewId="0">
      <selection activeCell="J11" sqref="J11"/>
    </sheetView>
  </sheetViews>
  <sheetFormatPr defaultRowHeight="14.4" x14ac:dyDescent="0.3"/>
  <cols>
    <col min="2" max="2" width="7.33203125" customWidth="1"/>
    <col min="3" max="3" width="8.5546875" customWidth="1"/>
    <col min="4" max="4" width="9.77734375" bestFit="1" customWidth="1"/>
    <col min="5" max="5" width="7.21875" customWidth="1"/>
    <col min="6" max="6" width="30.5546875" bestFit="1" customWidth="1"/>
  </cols>
  <sheetData>
    <row r="4" spans="2:12" ht="18" x14ac:dyDescent="0.3">
      <c r="B4" s="28" t="s">
        <v>0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6" spans="2:12" x14ac:dyDescent="0.3">
      <c r="C6" s="1"/>
      <c r="D6" s="1"/>
      <c r="F6" s="4" t="s">
        <v>1</v>
      </c>
      <c r="G6" s="5" t="s">
        <v>2</v>
      </c>
    </row>
    <row r="7" spans="2:12" x14ac:dyDescent="0.3">
      <c r="F7" s="6" t="s">
        <v>3</v>
      </c>
      <c r="G7" s="7">
        <v>500000</v>
      </c>
    </row>
    <row r="8" spans="2:12" x14ac:dyDescent="0.3">
      <c r="F8" s="8" t="s">
        <v>4</v>
      </c>
      <c r="G8" s="9">
        <v>10500</v>
      </c>
    </row>
    <row r="9" spans="2:12" x14ac:dyDescent="0.3">
      <c r="F9" s="2" t="s">
        <v>5</v>
      </c>
      <c r="G9" s="3">
        <v>25000</v>
      </c>
    </row>
    <row r="12" spans="2:12" ht="15.6" x14ac:dyDescent="0.3">
      <c r="D12" s="16" t="s">
        <v>13</v>
      </c>
      <c r="F12" s="38" t="s">
        <v>90</v>
      </c>
      <c r="G12" s="39">
        <f>SUMIF($F7:$F9,"car",$G7:$G9)</f>
        <v>500000</v>
      </c>
    </row>
    <row r="13" spans="2:12" x14ac:dyDescent="0.3">
      <c r="F13" s="38" t="s">
        <v>91</v>
      </c>
      <c r="G13" s="39">
        <f>SUMIF($F6:$F9,"Bicycle",$G6:$G9)</f>
        <v>10500</v>
      </c>
    </row>
    <row r="14" spans="2:12" x14ac:dyDescent="0.3">
      <c r="F14" s="38" t="s">
        <v>92</v>
      </c>
      <c r="G14" s="39">
        <f>SUM($G12:$G13)</f>
        <v>510500</v>
      </c>
    </row>
  </sheetData>
  <mergeCells count="1">
    <mergeCell ref="B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5E73-4C27-4DF2-A4A9-6AE78B5894C1}">
  <dimension ref="B3:O12"/>
  <sheetViews>
    <sheetView zoomScale="130" zoomScaleNormal="130" workbookViewId="0">
      <selection activeCell="H13" sqref="H13"/>
    </sheetView>
  </sheetViews>
  <sheetFormatPr defaultRowHeight="14.4" x14ac:dyDescent="0.3"/>
  <cols>
    <col min="1" max="1" width="13" customWidth="1"/>
    <col min="2" max="2" width="17.44140625" customWidth="1"/>
    <col min="4" max="4" width="11.109375" customWidth="1"/>
    <col min="5" max="5" width="11.33203125" customWidth="1"/>
    <col min="6" max="6" width="10.77734375" customWidth="1"/>
    <col min="7" max="7" width="11.44140625" customWidth="1"/>
    <col min="8" max="8" width="6.6640625" customWidth="1"/>
    <col min="9" max="9" width="6" customWidth="1"/>
    <col min="10" max="10" width="6.109375" customWidth="1"/>
    <col min="11" max="11" width="6.44140625" customWidth="1"/>
    <col min="12" max="12" width="12.21875" customWidth="1"/>
    <col min="13" max="13" width="6.109375" customWidth="1"/>
    <col min="14" max="14" width="3.77734375" customWidth="1"/>
    <col min="15" max="15" width="11.44140625" customWidth="1"/>
  </cols>
  <sheetData>
    <row r="3" spans="2:15" ht="18" customHeight="1" x14ac:dyDescent="0.3">
      <c r="B3" s="29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5" spans="2:15" x14ac:dyDescent="0.3">
      <c r="E5" s="11" t="s">
        <v>7</v>
      </c>
      <c r="F5" s="11" t="s">
        <v>2</v>
      </c>
      <c r="G5" s="11" t="s">
        <v>8</v>
      </c>
    </row>
    <row r="6" spans="2:15" x14ac:dyDescent="0.3">
      <c r="E6" s="10" t="s">
        <v>9</v>
      </c>
      <c r="F6" s="10">
        <v>90</v>
      </c>
      <c r="G6" s="10">
        <v>1000</v>
      </c>
    </row>
    <row r="7" spans="2:15" x14ac:dyDescent="0.3">
      <c r="E7" s="10" t="s">
        <v>10</v>
      </c>
      <c r="F7" s="10">
        <v>150</v>
      </c>
      <c r="G7" s="10">
        <v>1200</v>
      </c>
    </row>
    <row r="8" spans="2:15" x14ac:dyDescent="0.3">
      <c r="E8" s="10" t="s">
        <v>11</v>
      </c>
      <c r="F8" s="10">
        <v>250</v>
      </c>
      <c r="G8" s="10">
        <v>1500</v>
      </c>
    </row>
    <row r="10" spans="2:15" ht="15" thickBot="1" x14ac:dyDescent="0.35"/>
    <row r="11" spans="2:15" ht="16.2" thickBot="1" x14ac:dyDescent="0.35">
      <c r="B11" s="16" t="s">
        <v>13</v>
      </c>
      <c r="C11" s="30" t="s">
        <v>12</v>
      </c>
      <c r="D11" s="31"/>
      <c r="E11" s="31"/>
      <c r="F11" s="31"/>
      <c r="G11" s="32"/>
    </row>
    <row r="12" spans="2:15" ht="18.600000000000001" thickBot="1" x14ac:dyDescent="0.4">
      <c r="C12" s="12"/>
      <c r="D12" s="13"/>
      <c r="E12" s="15">
        <f>AVERAGEIFS(G6:G8,F6:F8,"&gt;100",F6:F8,"&lt;300")</f>
        <v>1350</v>
      </c>
      <c r="F12" s="13"/>
      <c r="G12" s="14"/>
    </row>
  </sheetData>
  <mergeCells count="2">
    <mergeCell ref="B3:O3"/>
    <mergeCell ref="C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C125-F562-4D13-AD9D-E75FFF8BC79B}">
  <dimension ref="A1:T366"/>
  <sheetViews>
    <sheetView topLeftCell="A25" workbookViewId="0">
      <selection activeCell="L7" sqref="L7"/>
    </sheetView>
  </sheetViews>
  <sheetFormatPr defaultRowHeight="14.4" x14ac:dyDescent="0.3"/>
  <cols>
    <col min="1" max="1" width="7.5546875" bestFit="1" customWidth="1"/>
    <col min="2" max="2" width="15.5546875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8" max="8" width="27.109375" style="23" customWidth="1"/>
    <col min="15" max="15" width="10.33203125" customWidth="1"/>
    <col min="19" max="19" width="11" customWidth="1"/>
  </cols>
  <sheetData>
    <row r="1" spans="1:20" ht="43.2" x14ac:dyDescent="0.3">
      <c r="A1" s="17" t="s">
        <v>14</v>
      </c>
      <c r="B1" s="17" t="s">
        <v>15</v>
      </c>
      <c r="C1" s="17" t="s">
        <v>16</v>
      </c>
      <c r="D1" s="17" t="s">
        <v>17</v>
      </c>
      <c r="E1" s="17" t="s">
        <v>18</v>
      </c>
      <c r="F1" s="17" t="s">
        <v>19</v>
      </c>
      <c r="G1" s="21" t="s">
        <v>20</v>
      </c>
      <c r="H1" s="40" t="s">
        <v>95</v>
      </c>
    </row>
    <row r="2" spans="1:20" x14ac:dyDescent="0.3">
      <c r="A2" s="18">
        <v>1001</v>
      </c>
      <c r="B2" s="19" t="s">
        <v>21</v>
      </c>
      <c r="C2" s="20" t="s">
        <v>22</v>
      </c>
      <c r="D2" s="20" t="s">
        <v>23</v>
      </c>
      <c r="E2" s="18">
        <v>10</v>
      </c>
      <c r="F2" s="18">
        <v>50</v>
      </c>
      <c r="G2" s="22">
        <v>45296</v>
      </c>
      <c r="H2" s="23">
        <f>E2*F2</f>
        <v>500</v>
      </c>
    </row>
    <row r="3" spans="1:20" ht="15.6" customHeight="1" x14ac:dyDescent="0.3">
      <c r="A3" s="18">
        <v>1002</v>
      </c>
      <c r="B3" s="19" t="s">
        <v>24</v>
      </c>
      <c r="C3" s="19" t="s">
        <v>25</v>
      </c>
      <c r="D3" s="19" t="s">
        <v>26</v>
      </c>
      <c r="E3" s="18">
        <v>20</v>
      </c>
      <c r="F3" s="18">
        <v>10</v>
      </c>
      <c r="G3" s="22">
        <v>45297</v>
      </c>
      <c r="H3" s="23">
        <f t="shared" ref="H3:H51" si="0">E3*F3</f>
        <v>200</v>
      </c>
      <c r="L3" s="28" t="s">
        <v>85</v>
      </c>
      <c r="M3" s="28"/>
      <c r="N3" s="28"/>
      <c r="O3" s="28"/>
      <c r="P3" s="28"/>
      <c r="Q3" s="28"/>
      <c r="R3" s="28"/>
      <c r="S3" s="28"/>
    </row>
    <row r="4" spans="1:20" x14ac:dyDescent="0.3">
      <c r="A4" s="18">
        <v>1003</v>
      </c>
      <c r="B4" s="19" t="s">
        <v>27</v>
      </c>
      <c r="C4" s="19" t="s">
        <v>28</v>
      </c>
      <c r="D4" s="19" t="s">
        <v>29</v>
      </c>
      <c r="E4" s="18">
        <v>15</v>
      </c>
      <c r="F4" s="18">
        <v>25</v>
      </c>
      <c r="G4" s="22">
        <v>45298</v>
      </c>
      <c r="H4" s="23">
        <f t="shared" si="0"/>
        <v>375</v>
      </c>
      <c r="L4" s="28"/>
      <c r="M4" s="28"/>
      <c r="N4" s="28"/>
      <c r="O4" s="28"/>
      <c r="P4" s="28"/>
      <c r="Q4" s="28"/>
      <c r="R4" s="28"/>
      <c r="S4" s="28"/>
    </row>
    <row r="5" spans="1:20" ht="15.6" x14ac:dyDescent="0.3">
      <c r="A5" s="18">
        <v>1004</v>
      </c>
      <c r="B5" s="19" t="s">
        <v>30</v>
      </c>
      <c r="C5" s="19" t="s">
        <v>31</v>
      </c>
      <c r="D5" s="19" t="s">
        <v>23</v>
      </c>
      <c r="E5" s="18">
        <v>5</v>
      </c>
      <c r="F5" s="18">
        <v>50</v>
      </c>
      <c r="G5" s="22">
        <v>45299</v>
      </c>
      <c r="H5" s="23">
        <f t="shared" si="0"/>
        <v>250</v>
      </c>
      <c r="L5" s="33" t="s">
        <v>81</v>
      </c>
      <c r="M5" s="33"/>
      <c r="N5" s="33"/>
      <c r="O5" s="33"/>
      <c r="P5" s="33"/>
    </row>
    <row r="6" spans="1:20" ht="15.6" x14ac:dyDescent="0.3">
      <c r="A6" s="18">
        <v>1005</v>
      </c>
      <c r="B6" s="19" t="s">
        <v>32</v>
      </c>
      <c r="C6" s="19" t="s">
        <v>22</v>
      </c>
      <c r="D6" s="19" t="s">
        <v>33</v>
      </c>
      <c r="E6" s="18">
        <v>30</v>
      </c>
      <c r="F6" s="18">
        <v>5</v>
      </c>
      <c r="G6" s="22">
        <v>45301</v>
      </c>
      <c r="H6" s="23">
        <f t="shared" si="0"/>
        <v>150</v>
      </c>
      <c r="M6" s="34" t="s">
        <v>80</v>
      </c>
      <c r="N6" s="34"/>
      <c r="O6" s="34"/>
      <c r="P6" s="34"/>
    </row>
    <row r="7" spans="1:20" ht="15.6" x14ac:dyDescent="0.3">
      <c r="A7" s="18">
        <v>1006</v>
      </c>
      <c r="B7" s="19" t="s">
        <v>34</v>
      </c>
      <c r="C7" s="19" t="s">
        <v>25</v>
      </c>
      <c r="D7" s="19" t="s">
        <v>23</v>
      </c>
      <c r="E7" s="18">
        <v>12</v>
      </c>
      <c r="F7" s="18">
        <v>50</v>
      </c>
      <c r="G7" s="22">
        <v>45302</v>
      </c>
      <c r="H7" s="23">
        <f t="shared" si="0"/>
        <v>600</v>
      </c>
      <c r="N7" s="25">
        <f>COUNTA(B2:B51)</f>
        <v>50</v>
      </c>
      <c r="O7" s="26"/>
      <c r="P7" s="26"/>
    </row>
    <row r="8" spans="1:20" x14ac:dyDescent="0.3">
      <c r="A8" s="18">
        <v>1007</v>
      </c>
      <c r="B8" s="19" t="s">
        <v>35</v>
      </c>
      <c r="C8" s="19" t="s">
        <v>28</v>
      </c>
      <c r="D8" s="19" t="s">
        <v>36</v>
      </c>
      <c r="E8" s="18">
        <v>25</v>
      </c>
      <c r="F8" s="18">
        <v>8</v>
      </c>
      <c r="G8" s="22">
        <v>45304</v>
      </c>
      <c r="H8" s="23">
        <f t="shared" si="0"/>
        <v>200</v>
      </c>
    </row>
    <row r="9" spans="1:20" ht="18" customHeight="1" x14ac:dyDescent="0.3">
      <c r="A9" s="18">
        <v>1008</v>
      </c>
      <c r="B9" s="19" t="s">
        <v>37</v>
      </c>
      <c r="C9" s="19" t="s">
        <v>31</v>
      </c>
      <c r="D9" s="19" t="s">
        <v>26</v>
      </c>
      <c r="E9" s="18">
        <v>18</v>
      </c>
      <c r="F9" s="18">
        <v>10</v>
      </c>
      <c r="G9" s="22">
        <v>45306</v>
      </c>
      <c r="H9" s="23">
        <f t="shared" si="0"/>
        <v>180</v>
      </c>
      <c r="L9" s="28" t="s">
        <v>84</v>
      </c>
      <c r="M9" s="28"/>
      <c r="N9" s="28"/>
      <c r="O9" s="28"/>
      <c r="P9" s="28"/>
      <c r="Q9" s="28"/>
      <c r="R9" s="28"/>
      <c r="S9" s="28"/>
    </row>
    <row r="10" spans="1:20" ht="18" customHeight="1" x14ac:dyDescent="0.3">
      <c r="A10" s="18">
        <v>1009</v>
      </c>
      <c r="B10" s="19" t="s">
        <v>38</v>
      </c>
      <c r="C10" s="19" t="s">
        <v>22</v>
      </c>
      <c r="D10" s="19" t="s">
        <v>29</v>
      </c>
      <c r="E10" s="18">
        <v>22</v>
      </c>
      <c r="F10" s="18">
        <v>25</v>
      </c>
      <c r="G10" s="22">
        <v>45308</v>
      </c>
      <c r="H10" s="23">
        <f t="shared" si="0"/>
        <v>550</v>
      </c>
      <c r="L10" s="28"/>
      <c r="M10" s="28"/>
      <c r="N10" s="28"/>
      <c r="O10" s="28"/>
      <c r="P10" s="28"/>
      <c r="Q10" s="28"/>
      <c r="R10" s="28"/>
      <c r="S10" s="28"/>
    </row>
    <row r="11" spans="1:20" ht="15.6" x14ac:dyDescent="0.3">
      <c r="A11" s="18">
        <v>1010</v>
      </c>
      <c r="B11" s="19" t="s">
        <v>39</v>
      </c>
      <c r="C11" s="19" t="s">
        <v>25</v>
      </c>
      <c r="D11" s="19" t="s">
        <v>23</v>
      </c>
      <c r="E11" s="18">
        <v>8</v>
      </c>
      <c r="F11" s="18">
        <v>50</v>
      </c>
      <c r="G11" s="22">
        <v>45309</v>
      </c>
      <c r="H11" s="23">
        <f t="shared" si="0"/>
        <v>400</v>
      </c>
      <c r="L11" s="33" t="s">
        <v>82</v>
      </c>
      <c r="M11" s="33"/>
      <c r="N11" s="33"/>
      <c r="O11" s="33"/>
      <c r="P11" s="33"/>
      <c r="Q11" s="33"/>
      <c r="R11" s="33"/>
    </row>
    <row r="12" spans="1:20" x14ac:dyDescent="0.3">
      <c r="A12" s="18">
        <v>1011</v>
      </c>
      <c r="B12" s="19" t="s">
        <v>40</v>
      </c>
      <c r="C12" s="19" t="s">
        <v>28</v>
      </c>
      <c r="D12" s="19" t="s">
        <v>33</v>
      </c>
      <c r="E12" s="18">
        <v>40</v>
      </c>
      <c r="F12" s="18">
        <v>5</v>
      </c>
      <c r="G12" s="22">
        <v>45310</v>
      </c>
      <c r="H12" s="23">
        <f t="shared" si="0"/>
        <v>200</v>
      </c>
    </row>
    <row r="13" spans="1:20" x14ac:dyDescent="0.3">
      <c r="A13" s="18">
        <v>1012</v>
      </c>
      <c r="B13" s="19" t="s">
        <v>41</v>
      </c>
      <c r="C13" s="19" t="s">
        <v>31</v>
      </c>
      <c r="D13" s="19" t="s">
        <v>36</v>
      </c>
      <c r="E13" s="18">
        <v>35</v>
      </c>
      <c r="F13" s="18">
        <v>8</v>
      </c>
      <c r="G13" s="22">
        <v>45311</v>
      </c>
      <c r="H13" s="23">
        <f t="shared" si="0"/>
        <v>280</v>
      </c>
    </row>
    <row r="14" spans="1:20" ht="18" x14ac:dyDescent="0.3">
      <c r="A14" s="18">
        <v>1013</v>
      </c>
      <c r="B14" s="19" t="s">
        <v>42</v>
      </c>
      <c r="C14" s="20" t="s">
        <v>22</v>
      </c>
      <c r="D14" s="20" t="s">
        <v>23</v>
      </c>
      <c r="E14" s="18">
        <v>14</v>
      </c>
      <c r="F14" s="18">
        <v>50</v>
      </c>
      <c r="G14" s="22">
        <v>45313</v>
      </c>
      <c r="H14" s="23">
        <f t="shared" si="0"/>
        <v>700</v>
      </c>
      <c r="K14" s="28" t="s">
        <v>83</v>
      </c>
      <c r="L14" s="28"/>
      <c r="M14" s="28"/>
      <c r="N14" s="28"/>
      <c r="O14" s="28"/>
      <c r="P14" s="28"/>
      <c r="Q14" s="28"/>
      <c r="R14" s="28"/>
      <c r="S14" s="28"/>
      <c r="T14" s="28"/>
    </row>
    <row r="15" spans="1:20" x14ac:dyDescent="0.3">
      <c r="A15" s="18">
        <v>1014</v>
      </c>
      <c r="B15" s="19" t="s">
        <v>43</v>
      </c>
      <c r="C15" s="19" t="s">
        <v>25</v>
      </c>
      <c r="D15" s="19" t="s">
        <v>26</v>
      </c>
      <c r="E15" s="18">
        <v>28</v>
      </c>
      <c r="F15" s="18">
        <v>10</v>
      </c>
      <c r="G15" s="22">
        <v>45314</v>
      </c>
      <c r="H15" s="23">
        <f t="shared" si="0"/>
        <v>280</v>
      </c>
    </row>
    <row r="16" spans="1:20" ht="15.6" x14ac:dyDescent="0.3">
      <c r="A16" s="18">
        <v>1015</v>
      </c>
      <c r="B16" s="19" t="s">
        <v>44</v>
      </c>
      <c r="C16" s="19" t="s">
        <v>28</v>
      </c>
      <c r="D16" s="19" t="s">
        <v>29</v>
      </c>
      <c r="E16" s="18">
        <v>12</v>
      </c>
      <c r="F16" s="18">
        <v>25</v>
      </c>
      <c r="G16" s="22">
        <v>45315</v>
      </c>
      <c r="H16" s="23">
        <f t="shared" si="0"/>
        <v>300</v>
      </c>
      <c r="M16" s="33" t="s">
        <v>86</v>
      </c>
      <c r="N16" s="33"/>
      <c r="O16" s="33"/>
      <c r="P16" s="33"/>
      <c r="Q16" s="33"/>
      <c r="R16" s="33"/>
      <c r="S16" s="33"/>
    </row>
    <row r="17" spans="1:19" ht="15.6" x14ac:dyDescent="0.3">
      <c r="A17" s="18">
        <v>1016</v>
      </c>
      <c r="B17" s="19" t="s">
        <v>45</v>
      </c>
      <c r="C17" s="19" t="s">
        <v>31</v>
      </c>
      <c r="D17" s="19" t="s">
        <v>33</v>
      </c>
      <c r="E17" s="18">
        <v>25</v>
      </c>
      <c r="F17" s="18">
        <v>5</v>
      </c>
      <c r="G17" s="22">
        <v>45317</v>
      </c>
      <c r="H17" s="23">
        <f t="shared" si="0"/>
        <v>125</v>
      </c>
      <c r="M17" s="35" t="s">
        <v>87</v>
      </c>
      <c r="N17" s="35"/>
      <c r="O17" s="35"/>
      <c r="P17" s="35"/>
      <c r="Q17" s="35"/>
      <c r="R17" s="35"/>
    </row>
    <row r="18" spans="1:19" ht="18" x14ac:dyDescent="0.35">
      <c r="A18" s="18">
        <v>1017</v>
      </c>
      <c r="B18" s="19" t="s">
        <v>46</v>
      </c>
      <c r="C18" s="19" t="s">
        <v>22</v>
      </c>
      <c r="D18" s="19" t="s">
        <v>36</v>
      </c>
      <c r="E18" s="18">
        <v>20</v>
      </c>
      <c r="F18" s="18">
        <v>8</v>
      </c>
      <c r="G18" s="22">
        <v>45319</v>
      </c>
      <c r="H18" s="23">
        <f t="shared" si="0"/>
        <v>160</v>
      </c>
      <c r="O18" s="27">
        <f>SUMIFS(H2:H51,D2:D51,"notebook",C2:C51,"north")</f>
        <v>2900</v>
      </c>
    </row>
    <row r="19" spans="1:19" x14ac:dyDescent="0.3">
      <c r="A19" s="18">
        <v>1018</v>
      </c>
      <c r="B19" s="19" t="s">
        <v>47</v>
      </c>
      <c r="C19" s="19" t="s">
        <v>25</v>
      </c>
      <c r="D19" s="19" t="s">
        <v>23</v>
      </c>
      <c r="E19" s="18">
        <v>10</v>
      </c>
      <c r="F19" s="18">
        <v>50</v>
      </c>
      <c r="G19" s="22">
        <v>45320</v>
      </c>
      <c r="H19" s="23">
        <f t="shared" si="0"/>
        <v>500</v>
      </c>
    </row>
    <row r="20" spans="1:19" x14ac:dyDescent="0.3">
      <c r="A20" s="18">
        <v>1019</v>
      </c>
      <c r="B20" s="19" t="s">
        <v>48</v>
      </c>
      <c r="C20" s="19" t="s">
        <v>28</v>
      </c>
      <c r="D20" s="19" t="s">
        <v>26</v>
      </c>
      <c r="E20" s="18">
        <v>15</v>
      </c>
      <c r="F20" s="18">
        <v>10</v>
      </c>
      <c r="G20" s="22">
        <v>45321</v>
      </c>
      <c r="H20" s="23">
        <f t="shared" si="0"/>
        <v>150</v>
      </c>
    </row>
    <row r="21" spans="1:19" x14ac:dyDescent="0.3">
      <c r="A21" s="18">
        <v>1020</v>
      </c>
      <c r="B21" s="19" t="s">
        <v>49</v>
      </c>
      <c r="C21" s="19" t="s">
        <v>31</v>
      </c>
      <c r="D21" s="19" t="s">
        <v>29</v>
      </c>
      <c r="E21" s="18">
        <v>18</v>
      </c>
      <c r="F21" s="18">
        <v>25</v>
      </c>
      <c r="G21" s="22">
        <v>45323</v>
      </c>
      <c r="H21" s="23">
        <f t="shared" si="0"/>
        <v>450</v>
      </c>
    </row>
    <row r="22" spans="1:19" ht="18" x14ac:dyDescent="0.3">
      <c r="A22" s="18">
        <v>1021</v>
      </c>
      <c r="B22" s="19" t="s">
        <v>50</v>
      </c>
      <c r="C22" s="20" t="s">
        <v>22</v>
      </c>
      <c r="D22" s="20" t="s">
        <v>23</v>
      </c>
      <c r="E22" s="18">
        <v>9</v>
      </c>
      <c r="F22" s="18">
        <v>50</v>
      </c>
      <c r="G22" s="22">
        <v>45324</v>
      </c>
      <c r="H22" s="23">
        <f t="shared" si="0"/>
        <v>450</v>
      </c>
      <c r="L22" s="36" t="s">
        <v>89</v>
      </c>
      <c r="M22" s="36"/>
      <c r="N22" s="36"/>
      <c r="O22" s="36"/>
      <c r="P22" s="36"/>
      <c r="Q22" s="36"/>
      <c r="R22" s="36"/>
      <c r="S22" s="36"/>
    </row>
    <row r="23" spans="1:19" x14ac:dyDescent="0.3">
      <c r="A23" s="18">
        <v>1022</v>
      </c>
      <c r="B23" s="19" t="s">
        <v>51</v>
      </c>
      <c r="C23" s="19" t="s">
        <v>25</v>
      </c>
      <c r="D23" s="19" t="s">
        <v>33</v>
      </c>
      <c r="E23" s="18">
        <v>35</v>
      </c>
      <c r="F23" s="18">
        <v>5</v>
      </c>
      <c r="G23" s="22">
        <v>45325</v>
      </c>
      <c r="H23" s="23">
        <f t="shared" si="0"/>
        <v>175</v>
      </c>
      <c r="L23" s="37" t="s">
        <v>88</v>
      </c>
      <c r="M23" s="37"/>
    </row>
    <row r="24" spans="1:19" x14ac:dyDescent="0.3">
      <c r="A24" s="18">
        <v>1023</v>
      </c>
      <c r="B24" s="19" t="s">
        <v>52</v>
      </c>
      <c r="C24" s="19" t="s">
        <v>28</v>
      </c>
      <c r="D24" s="19" t="s">
        <v>36</v>
      </c>
      <c r="E24" s="18">
        <v>30</v>
      </c>
      <c r="F24" s="18">
        <v>8</v>
      </c>
      <c r="G24" s="22">
        <v>45326</v>
      </c>
      <c r="H24" s="23">
        <f t="shared" si="0"/>
        <v>240</v>
      </c>
    </row>
    <row r="25" spans="1:19" x14ac:dyDescent="0.3">
      <c r="A25" s="18">
        <v>1024</v>
      </c>
      <c r="B25" s="19" t="s">
        <v>53</v>
      </c>
      <c r="C25" s="19" t="s">
        <v>31</v>
      </c>
      <c r="D25" s="19" t="s">
        <v>23</v>
      </c>
      <c r="E25" s="18">
        <v>11</v>
      </c>
      <c r="F25" s="18">
        <v>50</v>
      </c>
      <c r="G25" s="22">
        <v>45328</v>
      </c>
      <c r="H25" s="23">
        <f t="shared" si="0"/>
        <v>550</v>
      </c>
    </row>
    <row r="26" spans="1:19" x14ac:dyDescent="0.3">
      <c r="A26" s="18">
        <v>1025</v>
      </c>
      <c r="B26" s="19" t="s">
        <v>54</v>
      </c>
      <c r="C26" s="19" t="s">
        <v>22</v>
      </c>
      <c r="D26" s="19" t="s">
        <v>26</v>
      </c>
      <c r="E26" s="18">
        <v>14</v>
      </c>
      <c r="F26" s="18">
        <v>10</v>
      </c>
      <c r="G26" s="22">
        <v>45329</v>
      </c>
      <c r="H26" s="23">
        <f t="shared" si="0"/>
        <v>140</v>
      </c>
    </row>
    <row r="27" spans="1:19" x14ac:dyDescent="0.3">
      <c r="A27" s="18">
        <v>1026</v>
      </c>
      <c r="B27" s="19" t="s">
        <v>55</v>
      </c>
      <c r="C27" s="19" t="s">
        <v>25</v>
      </c>
      <c r="D27" s="19" t="s">
        <v>29</v>
      </c>
      <c r="E27" s="18">
        <v>16</v>
      </c>
      <c r="F27" s="18">
        <v>25</v>
      </c>
      <c r="G27" s="22">
        <v>45330</v>
      </c>
      <c r="H27" s="23">
        <f t="shared" si="0"/>
        <v>400</v>
      </c>
    </row>
    <row r="28" spans="1:19" x14ac:dyDescent="0.3">
      <c r="A28" s="18">
        <v>1027</v>
      </c>
      <c r="B28" s="19" t="s">
        <v>56</v>
      </c>
      <c r="C28" s="19" t="s">
        <v>28</v>
      </c>
      <c r="D28" s="19" t="s">
        <v>33</v>
      </c>
      <c r="E28" s="18">
        <v>22</v>
      </c>
      <c r="F28" s="18">
        <v>5</v>
      </c>
      <c r="G28" s="22">
        <v>45331</v>
      </c>
      <c r="H28" s="23">
        <f t="shared" si="0"/>
        <v>110</v>
      </c>
    </row>
    <row r="29" spans="1:19" x14ac:dyDescent="0.3">
      <c r="A29" s="18">
        <v>1028</v>
      </c>
      <c r="B29" s="19" t="s">
        <v>57</v>
      </c>
      <c r="C29" s="19" t="s">
        <v>31</v>
      </c>
      <c r="D29" s="19" t="s">
        <v>36</v>
      </c>
      <c r="E29" s="18">
        <v>27</v>
      </c>
      <c r="F29" s="18">
        <v>8</v>
      </c>
      <c r="G29" s="22">
        <v>45332</v>
      </c>
      <c r="H29" s="23">
        <f t="shared" si="0"/>
        <v>216</v>
      </c>
    </row>
    <row r="30" spans="1:19" x14ac:dyDescent="0.3">
      <c r="A30" s="18">
        <v>1029</v>
      </c>
      <c r="B30" s="19" t="s">
        <v>58</v>
      </c>
      <c r="C30" s="20" t="s">
        <v>22</v>
      </c>
      <c r="D30" s="20" t="s">
        <v>23</v>
      </c>
      <c r="E30" s="18">
        <v>13</v>
      </c>
      <c r="F30" s="18">
        <v>50</v>
      </c>
      <c r="G30" s="22">
        <v>45334</v>
      </c>
      <c r="H30" s="23">
        <f t="shared" si="0"/>
        <v>650</v>
      </c>
    </row>
    <row r="31" spans="1:19" x14ac:dyDescent="0.3">
      <c r="A31" s="18">
        <v>1030</v>
      </c>
      <c r="B31" s="19" t="s">
        <v>59</v>
      </c>
      <c r="C31" s="19" t="s">
        <v>25</v>
      </c>
      <c r="D31" s="19" t="s">
        <v>26</v>
      </c>
      <c r="E31" s="18">
        <v>32</v>
      </c>
      <c r="F31" s="18">
        <v>10</v>
      </c>
      <c r="G31" s="22">
        <v>45335</v>
      </c>
      <c r="H31" s="23">
        <f t="shared" si="0"/>
        <v>320</v>
      </c>
    </row>
    <row r="32" spans="1:19" x14ac:dyDescent="0.3">
      <c r="A32" s="18">
        <v>1031</v>
      </c>
      <c r="B32" s="19" t="s">
        <v>60</v>
      </c>
      <c r="C32" s="19" t="s">
        <v>28</v>
      </c>
      <c r="D32" s="19" t="s">
        <v>29</v>
      </c>
      <c r="E32" s="18">
        <v>10</v>
      </c>
      <c r="F32" s="18">
        <v>25</v>
      </c>
      <c r="G32" s="22">
        <v>45336</v>
      </c>
      <c r="H32" s="23">
        <f t="shared" si="0"/>
        <v>250</v>
      </c>
    </row>
    <row r="33" spans="1:8" x14ac:dyDescent="0.3">
      <c r="A33" s="18">
        <v>1032</v>
      </c>
      <c r="B33" s="19" t="s">
        <v>61</v>
      </c>
      <c r="C33" s="19" t="s">
        <v>31</v>
      </c>
      <c r="D33" s="19" t="s">
        <v>33</v>
      </c>
      <c r="E33" s="18">
        <v>18</v>
      </c>
      <c r="F33" s="18">
        <v>5</v>
      </c>
      <c r="G33" s="22">
        <v>45338</v>
      </c>
      <c r="H33" s="23">
        <f t="shared" si="0"/>
        <v>90</v>
      </c>
    </row>
    <row r="34" spans="1:8" x14ac:dyDescent="0.3">
      <c r="A34" s="18">
        <v>1033</v>
      </c>
      <c r="B34" s="19" t="s">
        <v>62</v>
      </c>
      <c r="C34" s="19" t="s">
        <v>22</v>
      </c>
      <c r="D34" s="19" t="s">
        <v>36</v>
      </c>
      <c r="E34" s="18">
        <v>22</v>
      </c>
      <c r="F34" s="18">
        <v>8</v>
      </c>
      <c r="G34" s="22">
        <v>45339</v>
      </c>
      <c r="H34" s="23">
        <f t="shared" si="0"/>
        <v>176</v>
      </c>
    </row>
    <row r="35" spans="1:8" x14ac:dyDescent="0.3">
      <c r="A35" s="18">
        <v>1034</v>
      </c>
      <c r="B35" s="19" t="s">
        <v>63</v>
      </c>
      <c r="C35" s="19" t="s">
        <v>25</v>
      </c>
      <c r="D35" s="19" t="s">
        <v>23</v>
      </c>
      <c r="E35" s="18">
        <v>17</v>
      </c>
      <c r="F35" s="18">
        <v>50</v>
      </c>
      <c r="G35" s="22">
        <v>45340</v>
      </c>
      <c r="H35" s="23">
        <f t="shared" si="0"/>
        <v>850</v>
      </c>
    </row>
    <row r="36" spans="1:8" x14ac:dyDescent="0.3">
      <c r="A36" s="18">
        <v>1035</v>
      </c>
      <c r="B36" s="19" t="s">
        <v>64</v>
      </c>
      <c r="C36" s="19" t="s">
        <v>28</v>
      </c>
      <c r="D36" s="19" t="s">
        <v>26</v>
      </c>
      <c r="E36" s="18">
        <v>19</v>
      </c>
      <c r="F36" s="18">
        <v>10</v>
      </c>
      <c r="G36" s="22">
        <v>45341</v>
      </c>
      <c r="H36" s="23">
        <f t="shared" si="0"/>
        <v>190</v>
      </c>
    </row>
    <row r="37" spans="1:8" x14ac:dyDescent="0.3">
      <c r="A37" s="18">
        <v>1036</v>
      </c>
      <c r="B37" s="19" t="s">
        <v>65</v>
      </c>
      <c r="C37" s="19" t="s">
        <v>31</v>
      </c>
      <c r="D37" s="19" t="s">
        <v>29</v>
      </c>
      <c r="E37" s="18">
        <v>15</v>
      </c>
      <c r="F37" s="18">
        <v>25</v>
      </c>
      <c r="G37" s="22">
        <v>45343</v>
      </c>
      <c r="H37" s="23">
        <f t="shared" si="0"/>
        <v>375</v>
      </c>
    </row>
    <row r="38" spans="1:8" x14ac:dyDescent="0.3">
      <c r="A38" s="18">
        <v>1037</v>
      </c>
      <c r="B38" s="19" t="s">
        <v>66</v>
      </c>
      <c r="C38" s="19" t="s">
        <v>22</v>
      </c>
      <c r="D38" s="19" t="s">
        <v>33</v>
      </c>
      <c r="E38" s="18">
        <v>28</v>
      </c>
      <c r="F38" s="18">
        <v>5</v>
      </c>
      <c r="G38" s="22">
        <v>45344</v>
      </c>
      <c r="H38" s="23">
        <f t="shared" si="0"/>
        <v>140</v>
      </c>
    </row>
    <row r="39" spans="1:8" x14ac:dyDescent="0.3">
      <c r="A39" s="18">
        <v>1038</v>
      </c>
      <c r="B39" s="19" t="s">
        <v>67</v>
      </c>
      <c r="C39" s="19" t="s">
        <v>25</v>
      </c>
      <c r="D39" s="19" t="s">
        <v>36</v>
      </c>
      <c r="E39" s="18">
        <v>24</v>
      </c>
      <c r="F39" s="18">
        <v>8</v>
      </c>
      <c r="G39" s="22">
        <v>45345</v>
      </c>
      <c r="H39" s="23">
        <f t="shared" si="0"/>
        <v>192</v>
      </c>
    </row>
    <row r="40" spans="1:8" x14ac:dyDescent="0.3">
      <c r="A40" s="18">
        <v>1039</v>
      </c>
      <c r="B40" s="19" t="s">
        <v>68</v>
      </c>
      <c r="C40" s="19" t="s">
        <v>28</v>
      </c>
      <c r="D40" s="19" t="s">
        <v>23</v>
      </c>
      <c r="E40" s="18">
        <v>16</v>
      </c>
      <c r="F40" s="18">
        <v>50</v>
      </c>
      <c r="G40" s="22">
        <v>45347</v>
      </c>
      <c r="H40" s="23">
        <f t="shared" si="0"/>
        <v>800</v>
      </c>
    </row>
    <row r="41" spans="1:8" x14ac:dyDescent="0.3">
      <c r="A41" s="18">
        <v>1040</v>
      </c>
      <c r="B41" s="19" t="s">
        <v>69</v>
      </c>
      <c r="C41" s="19" t="s">
        <v>31</v>
      </c>
      <c r="D41" s="19" t="s">
        <v>26</v>
      </c>
      <c r="E41" s="18">
        <v>27</v>
      </c>
      <c r="F41" s="18">
        <v>10</v>
      </c>
      <c r="G41" s="22">
        <v>45348</v>
      </c>
      <c r="H41" s="23">
        <f t="shared" si="0"/>
        <v>270</v>
      </c>
    </row>
    <row r="42" spans="1:8" x14ac:dyDescent="0.3">
      <c r="A42" s="18">
        <v>1041</v>
      </c>
      <c r="B42" s="19" t="s">
        <v>70</v>
      </c>
      <c r="C42" s="19" t="s">
        <v>22</v>
      </c>
      <c r="D42" s="19" t="s">
        <v>29</v>
      </c>
      <c r="E42" s="18">
        <v>21</v>
      </c>
      <c r="F42" s="18">
        <v>25</v>
      </c>
      <c r="G42" s="22">
        <v>45349</v>
      </c>
      <c r="H42" s="23">
        <f t="shared" si="0"/>
        <v>525</v>
      </c>
    </row>
    <row r="43" spans="1:8" x14ac:dyDescent="0.3">
      <c r="A43" s="18">
        <v>1042</v>
      </c>
      <c r="B43" s="19" t="s">
        <v>71</v>
      </c>
      <c r="C43" s="19" t="s">
        <v>25</v>
      </c>
      <c r="D43" s="19" t="s">
        <v>33</v>
      </c>
      <c r="E43" s="18">
        <v>30</v>
      </c>
      <c r="F43" s="18">
        <v>5</v>
      </c>
      <c r="G43" s="22">
        <v>45350</v>
      </c>
      <c r="H43" s="23">
        <f t="shared" si="0"/>
        <v>150</v>
      </c>
    </row>
    <row r="44" spans="1:8" x14ac:dyDescent="0.3">
      <c r="A44" s="18">
        <v>1043</v>
      </c>
      <c r="B44" s="19" t="s">
        <v>72</v>
      </c>
      <c r="C44" s="19" t="s">
        <v>28</v>
      </c>
      <c r="D44" s="19" t="s">
        <v>36</v>
      </c>
      <c r="E44" s="18">
        <v>26</v>
      </c>
      <c r="F44" s="18">
        <v>8</v>
      </c>
      <c r="G44" s="22">
        <v>45352</v>
      </c>
      <c r="H44" s="23">
        <f t="shared" si="0"/>
        <v>208</v>
      </c>
    </row>
    <row r="45" spans="1:8" x14ac:dyDescent="0.3">
      <c r="A45" s="18">
        <v>1044</v>
      </c>
      <c r="B45" s="19" t="s">
        <v>73</v>
      </c>
      <c r="C45" s="19" t="s">
        <v>31</v>
      </c>
      <c r="D45" s="19" t="s">
        <v>23</v>
      </c>
      <c r="E45" s="18">
        <v>14</v>
      </c>
      <c r="F45" s="18">
        <v>50</v>
      </c>
      <c r="G45" s="22">
        <v>45353</v>
      </c>
      <c r="H45" s="23">
        <f t="shared" si="0"/>
        <v>700</v>
      </c>
    </row>
    <row r="46" spans="1:8" x14ac:dyDescent="0.3">
      <c r="A46" s="18">
        <v>1045</v>
      </c>
      <c r="B46" s="19" t="s">
        <v>74</v>
      </c>
      <c r="C46" s="19" t="s">
        <v>22</v>
      </c>
      <c r="D46" s="19" t="s">
        <v>26</v>
      </c>
      <c r="E46" s="18">
        <v>20</v>
      </c>
      <c r="F46" s="18">
        <v>10</v>
      </c>
      <c r="G46" s="22">
        <v>45354</v>
      </c>
      <c r="H46" s="23">
        <f t="shared" si="0"/>
        <v>200</v>
      </c>
    </row>
    <row r="47" spans="1:8" x14ac:dyDescent="0.3">
      <c r="A47" s="18">
        <v>1046</v>
      </c>
      <c r="B47" s="19" t="s">
        <v>75</v>
      </c>
      <c r="C47" s="19" t="s">
        <v>25</v>
      </c>
      <c r="D47" s="19" t="s">
        <v>29</v>
      </c>
      <c r="E47" s="18">
        <v>17</v>
      </c>
      <c r="F47" s="18">
        <v>25</v>
      </c>
      <c r="G47" s="22">
        <v>45355</v>
      </c>
      <c r="H47" s="23">
        <f t="shared" si="0"/>
        <v>425</v>
      </c>
    </row>
    <row r="48" spans="1:8" x14ac:dyDescent="0.3">
      <c r="A48" s="18">
        <v>1047</v>
      </c>
      <c r="B48" s="19" t="s">
        <v>76</v>
      </c>
      <c r="C48" s="19" t="s">
        <v>28</v>
      </c>
      <c r="D48" s="19" t="s">
        <v>33</v>
      </c>
      <c r="E48" s="18">
        <v>19</v>
      </c>
      <c r="F48" s="18">
        <v>5</v>
      </c>
      <c r="G48" s="22">
        <v>45356</v>
      </c>
      <c r="H48" s="23">
        <f t="shared" si="0"/>
        <v>95</v>
      </c>
    </row>
    <row r="49" spans="1:8" x14ac:dyDescent="0.3">
      <c r="A49" s="18">
        <v>1048</v>
      </c>
      <c r="B49" s="19" t="s">
        <v>77</v>
      </c>
      <c r="C49" s="19" t="s">
        <v>31</v>
      </c>
      <c r="D49" s="19" t="s">
        <v>36</v>
      </c>
      <c r="E49" s="18">
        <v>32</v>
      </c>
      <c r="F49" s="18">
        <v>8</v>
      </c>
      <c r="G49" s="22">
        <v>45357</v>
      </c>
      <c r="H49" s="23">
        <f t="shared" si="0"/>
        <v>256</v>
      </c>
    </row>
    <row r="50" spans="1:8" x14ac:dyDescent="0.3">
      <c r="A50" s="18">
        <v>1049</v>
      </c>
      <c r="B50" s="19" t="s">
        <v>78</v>
      </c>
      <c r="C50" s="20" t="s">
        <v>22</v>
      </c>
      <c r="D50" s="20" t="s">
        <v>23</v>
      </c>
      <c r="E50" s="18">
        <v>12</v>
      </c>
      <c r="F50" s="18">
        <v>50</v>
      </c>
      <c r="G50" s="22">
        <v>45358</v>
      </c>
      <c r="H50" s="23">
        <f t="shared" si="0"/>
        <v>600</v>
      </c>
    </row>
    <row r="51" spans="1:8" x14ac:dyDescent="0.3">
      <c r="A51" s="18">
        <v>1050</v>
      </c>
      <c r="B51" s="19" t="s">
        <v>79</v>
      </c>
      <c r="C51" s="19" t="s">
        <v>25</v>
      </c>
      <c r="D51" s="19" t="s">
        <v>26</v>
      </c>
      <c r="E51" s="18">
        <v>25</v>
      </c>
      <c r="F51" s="18">
        <v>10</v>
      </c>
      <c r="G51" s="22">
        <v>45359</v>
      </c>
      <c r="H51" s="23">
        <f t="shared" si="0"/>
        <v>250</v>
      </c>
    </row>
    <row r="52" spans="1:8" x14ac:dyDescent="0.3">
      <c r="H52" s="24"/>
    </row>
    <row r="53" spans="1:8" x14ac:dyDescent="0.3">
      <c r="H53" s="24"/>
    </row>
    <row r="54" spans="1:8" x14ac:dyDescent="0.3">
      <c r="H54" s="24"/>
    </row>
    <row r="55" spans="1:8" x14ac:dyDescent="0.3">
      <c r="H55" s="24"/>
    </row>
    <row r="56" spans="1:8" x14ac:dyDescent="0.3">
      <c r="H56" s="24"/>
    </row>
    <row r="57" spans="1:8" x14ac:dyDescent="0.3">
      <c r="H57" s="24"/>
    </row>
    <row r="58" spans="1:8" x14ac:dyDescent="0.3">
      <c r="H58" s="24"/>
    </row>
    <row r="59" spans="1:8" x14ac:dyDescent="0.3">
      <c r="H59" s="24"/>
    </row>
    <row r="60" spans="1:8" x14ac:dyDescent="0.3">
      <c r="H60" s="24"/>
    </row>
    <row r="61" spans="1:8" x14ac:dyDescent="0.3">
      <c r="H61" s="24"/>
    </row>
    <row r="62" spans="1:8" x14ac:dyDescent="0.3">
      <c r="H62" s="24"/>
    </row>
    <row r="63" spans="1:8" x14ac:dyDescent="0.3">
      <c r="H63" s="24"/>
    </row>
    <row r="64" spans="1:8" x14ac:dyDescent="0.3">
      <c r="H64" s="24"/>
    </row>
    <row r="65" spans="8:8" x14ac:dyDescent="0.3">
      <c r="H65" s="24"/>
    </row>
    <row r="66" spans="8:8" x14ac:dyDescent="0.3">
      <c r="H66" s="24"/>
    </row>
    <row r="67" spans="8:8" x14ac:dyDescent="0.3">
      <c r="H67" s="24"/>
    </row>
    <row r="68" spans="8:8" x14ac:dyDescent="0.3">
      <c r="H68" s="24"/>
    </row>
    <row r="69" spans="8:8" x14ac:dyDescent="0.3">
      <c r="H69" s="24"/>
    </row>
    <row r="70" spans="8:8" x14ac:dyDescent="0.3">
      <c r="H70" s="24"/>
    </row>
    <row r="71" spans="8:8" x14ac:dyDescent="0.3">
      <c r="H71" s="24"/>
    </row>
    <row r="72" spans="8:8" x14ac:dyDescent="0.3">
      <c r="H72" s="24"/>
    </row>
    <row r="73" spans="8:8" x14ac:dyDescent="0.3">
      <c r="H73" s="24"/>
    </row>
    <row r="74" spans="8:8" x14ac:dyDescent="0.3">
      <c r="H74" s="24"/>
    </row>
    <row r="75" spans="8:8" x14ac:dyDescent="0.3">
      <c r="H75" s="24"/>
    </row>
    <row r="76" spans="8:8" x14ac:dyDescent="0.3">
      <c r="H76" s="24"/>
    </row>
    <row r="77" spans="8:8" x14ac:dyDescent="0.3">
      <c r="H77" s="24"/>
    </row>
    <row r="78" spans="8:8" x14ac:dyDescent="0.3">
      <c r="H78" s="24"/>
    </row>
    <row r="79" spans="8:8" x14ac:dyDescent="0.3">
      <c r="H79" s="24"/>
    </row>
    <row r="80" spans="8:8" x14ac:dyDescent="0.3">
      <c r="H80" s="24"/>
    </row>
    <row r="81" spans="8:8" x14ac:dyDescent="0.3">
      <c r="H81" s="24"/>
    </row>
    <row r="82" spans="8:8" x14ac:dyDescent="0.3">
      <c r="H82" s="24"/>
    </row>
    <row r="83" spans="8:8" x14ac:dyDescent="0.3">
      <c r="H83" s="24"/>
    </row>
    <row r="84" spans="8:8" x14ac:dyDescent="0.3">
      <c r="H84" s="24"/>
    </row>
    <row r="85" spans="8:8" x14ac:dyDescent="0.3">
      <c r="H85" s="24"/>
    </row>
    <row r="86" spans="8:8" x14ac:dyDescent="0.3">
      <c r="H86" s="24"/>
    </row>
    <row r="87" spans="8:8" x14ac:dyDescent="0.3">
      <c r="H87" s="24"/>
    </row>
    <row r="88" spans="8:8" x14ac:dyDescent="0.3">
      <c r="H88" s="24"/>
    </row>
    <row r="89" spans="8:8" x14ac:dyDescent="0.3">
      <c r="H89" s="24"/>
    </row>
    <row r="90" spans="8:8" x14ac:dyDescent="0.3">
      <c r="H90" s="24"/>
    </row>
    <row r="91" spans="8:8" x14ac:dyDescent="0.3">
      <c r="H91" s="24"/>
    </row>
    <row r="92" spans="8:8" x14ac:dyDescent="0.3">
      <c r="H92" s="24"/>
    </row>
    <row r="93" spans="8:8" x14ac:dyDescent="0.3">
      <c r="H93" s="24"/>
    </row>
    <row r="94" spans="8:8" x14ac:dyDescent="0.3">
      <c r="H94" s="24"/>
    </row>
    <row r="95" spans="8:8" x14ac:dyDescent="0.3">
      <c r="H95" s="24"/>
    </row>
    <row r="96" spans="8:8" x14ac:dyDescent="0.3">
      <c r="H96" s="24"/>
    </row>
    <row r="97" spans="8:8" x14ac:dyDescent="0.3">
      <c r="H97" s="24"/>
    </row>
    <row r="98" spans="8:8" x14ac:dyDescent="0.3">
      <c r="H98" s="24"/>
    </row>
    <row r="99" spans="8:8" x14ac:dyDescent="0.3">
      <c r="H99" s="24"/>
    </row>
    <row r="100" spans="8:8" x14ac:dyDescent="0.3">
      <c r="H100" s="24"/>
    </row>
    <row r="101" spans="8:8" x14ac:dyDescent="0.3">
      <c r="H101" s="24"/>
    </row>
    <row r="102" spans="8:8" x14ac:dyDescent="0.3">
      <c r="H102" s="24"/>
    </row>
    <row r="103" spans="8:8" x14ac:dyDescent="0.3">
      <c r="H103" s="24"/>
    </row>
    <row r="104" spans="8:8" x14ac:dyDescent="0.3">
      <c r="H104" s="24"/>
    </row>
    <row r="105" spans="8:8" x14ac:dyDescent="0.3">
      <c r="H105" s="24"/>
    </row>
    <row r="106" spans="8:8" x14ac:dyDescent="0.3">
      <c r="H106" s="24"/>
    </row>
    <row r="107" spans="8:8" x14ac:dyDescent="0.3">
      <c r="H107" s="24"/>
    </row>
    <row r="108" spans="8:8" x14ac:dyDescent="0.3">
      <c r="H108" s="24"/>
    </row>
    <row r="109" spans="8:8" x14ac:dyDescent="0.3">
      <c r="H109" s="24"/>
    </row>
    <row r="110" spans="8:8" x14ac:dyDescent="0.3">
      <c r="H110" s="24"/>
    </row>
    <row r="111" spans="8:8" x14ac:dyDescent="0.3">
      <c r="H111" s="24"/>
    </row>
    <row r="112" spans="8:8" x14ac:dyDescent="0.3">
      <c r="H112" s="24"/>
    </row>
    <row r="113" spans="8:8" x14ac:dyDescent="0.3">
      <c r="H113" s="24"/>
    </row>
    <row r="114" spans="8:8" x14ac:dyDescent="0.3">
      <c r="H114" s="24"/>
    </row>
    <row r="115" spans="8:8" x14ac:dyDescent="0.3">
      <c r="H115" s="24"/>
    </row>
    <row r="116" spans="8:8" x14ac:dyDescent="0.3">
      <c r="H116" s="24"/>
    </row>
    <row r="117" spans="8:8" x14ac:dyDescent="0.3">
      <c r="H117" s="24"/>
    </row>
    <row r="118" spans="8:8" x14ac:dyDescent="0.3">
      <c r="H118" s="24"/>
    </row>
    <row r="119" spans="8:8" x14ac:dyDescent="0.3">
      <c r="H119" s="24"/>
    </row>
    <row r="120" spans="8:8" x14ac:dyDescent="0.3">
      <c r="H120" s="24"/>
    </row>
    <row r="121" spans="8:8" x14ac:dyDescent="0.3">
      <c r="H121" s="24"/>
    </row>
    <row r="122" spans="8:8" x14ac:dyDescent="0.3">
      <c r="H122" s="24"/>
    </row>
    <row r="123" spans="8:8" x14ac:dyDescent="0.3">
      <c r="H123" s="24"/>
    </row>
    <row r="124" spans="8:8" x14ac:dyDescent="0.3">
      <c r="H124" s="24"/>
    </row>
    <row r="125" spans="8:8" x14ac:dyDescent="0.3">
      <c r="H125" s="24"/>
    </row>
    <row r="126" spans="8:8" x14ac:dyDescent="0.3">
      <c r="H126" s="24"/>
    </row>
    <row r="127" spans="8:8" x14ac:dyDescent="0.3">
      <c r="H127" s="24"/>
    </row>
    <row r="128" spans="8:8" x14ac:dyDescent="0.3">
      <c r="H128" s="24"/>
    </row>
    <row r="129" spans="8:8" x14ac:dyDescent="0.3">
      <c r="H129" s="24"/>
    </row>
    <row r="130" spans="8:8" x14ac:dyDescent="0.3">
      <c r="H130" s="24"/>
    </row>
    <row r="131" spans="8:8" x14ac:dyDescent="0.3">
      <c r="H131" s="24"/>
    </row>
    <row r="132" spans="8:8" x14ac:dyDescent="0.3">
      <c r="H132" s="24"/>
    </row>
    <row r="133" spans="8:8" x14ac:dyDescent="0.3">
      <c r="H133" s="24"/>
    </row>
    <row r="134" spans="8:8" x14ac:dyDescent="0.3">
      <c r="H134" s="24"/>
    </row>
    <row r="135" spans="8:8" x14ac:dyDescent="0.3">
      <c r="H135" s="24"/>
    </row>
    <row r="136" spans="8:8" x14ac:dyDescent="0.3">
      <c r="H136" s="24"/>
    </row>
    <row r="137" spans="8:8" x14ac:dyDescent="0.3">
      <c r="H137" s="24"/>
    </row>
    <row r="138" spans="8:8" x14ac:dyDescent="0.3">
      <c r="H138" s="24"/>
    </row>
    <row r="139" spans="8:8" x14ac:dyDescent="0.3">
      <c r="H139" s="24"/>
    </row>
    <row r="140" spans="8:8" x14ac:dyDescent="0.3">
      <c r="H140" s="24"/>
    </row>
    <row r="141" spans="8:8" x14ac:dyDescent="0.3">
      <c r="H141" s="24"/>
    </row>
    <row r="142" spans="8:8" x14ac:dyDescent="0.3">
      <c r="H142" s="24"/>
    </row>
    <row r="143" spans="8:8" x14ac:dyDescent="0.3">
      <c r="H143" s="24"/>
    </row>
    <row r="144" spans="8:8" x14ac:dyDescent="0.3">
      <c r="H144" s="24"/>
    </row>
    <row r="145" spans="8:8" x14ac:dyDescent="0.3">
      <c r="H145" s="24"/>
    </row>
    <row r="146" spans="8:8" x14ac:dyDescent="0.3">
      <c r="H146" s="24"/>
    </row>
    <row r="147" spans="8:8" x14ac:dyDescent="0.3">
      <c r="H147" s="24"/>
    </row>
    <row r="148" spans="8:8" x14ac:dyDescent="0.3">
      <c r="H148" s="24"/>
    </row>
    <row r="149" spans="8:8" x14ac:dyDescent="0.3">
      <c r="H149" s="24"/>
    </row>
    <row r="150" spans="8:8" x14ac:dyDescent="0.3">
      <c r="H150" s="24"/>
    </row>
    <row r="151" spans="8:8" x14ac:dyDescent="0.3">
      <c r="H151" s="24"/>
    </row>
    <row r="152" spans="8:8" x14ac:dyDescent="0.3">
      <c r="H152" s="24"/>
    </row>
    <row r="153" spans="8:8" x14ac:dyDescent="0.3">
      <c r="H153" s="24"/>
    </row>
    <row r="154" spans="8:8" x14ac:dyDescent="0.3">
      <c r="H154" s="24"/>
    </row>
    <row r="155" spans="8:8" x14ac:dyDescent="0.3">
      <c r="H155" s="24"/>
    </row>
    <row r="156" spans="8:8" x14ac:dyDescent="0.3">
      <c r="H156" s="24"/>
    </row>
    <row r="157" spans="8:8" x14ac:dyDescent="0.3">
      <c r="H157" s="24"/>
    </row>
    <row r="158" spans="8:8" x14ac:dyDescent="0.3">
      <c r="H158" s="24"/>
    </row>
    <row r="159" spans="8:8" x14ac:dyDescent="0.3">
      <c r="H159" s="24"/>
    </row>
    <row r="160" spans="8:8" x14ac:dyDescent="0.3">
      <c r="H160" s="24"/>
    </row>
    <row r="161" spans="8:8" x14ac:dyDescent="0.3">
      <c r="H161" s="24"/>
    </row>
    <row r="162" spans="8:8" x14ac:dyDescent="0.3">
      <c r="H162" s="24"/>
    </row>
    <row r="163" spans="8:8" x14ac:dyDescent="0.3">
      <c r="H163" s="24"/>
    </row>
    <row r="164" spans="8:8" x14ac:dyDescent="0.3">
      <c r="H164" s="24"/>
    </row>
    <row r="165" spans="8:8" x14ac:dyDescent="0.3">
      <c r="H165" s="24"/>
    </row>
    <row r="166" spans="8:8" x14ac:dyDescent="0.3">
      <c r="H166" s="24"/>
    </row>
    <row r="167" spans="8:8" x14ac:dyDescent="0.3">
      <c r="H167" s="24"/>
    </row>
    <row r="168" spans="8:8" x14ac:dyDescent="0.3">
      <c r="H168" s="24"/>
    </row>
    <row r="169" spans="8:8" x14ac:dyDescent="0.3">
      <c r="H169" s="24"/>
    </row>
    <row r="170" spans="8:8" x14ac:dyDescent="0.3">
      <c r="H170" s="24"/>
    </row>
    <row r="171" spans="8:8" x14ac:dyDescent="0.3">
      <c r="H171" s="24"/>
    </row>
    <row r="172" spans="8:8" x14ac:dyDescent="0.3">
      <c r="H172" s="24"/>
    </row>
    <row r="173" spans="8:8" x14ac:dyDescent="0.3">
      <c r="H173" s="24"/>
    </row>
    <row r="174" spans="8:8" x14ac:dyDescent="0.3">
      <c r="H174" s="24"/>
    </row>
    <row r="175" spans="8:8" x14ac:dyDescent="0.3">
      <c r="H175" s="24"/>
    </row>
    <row r="176" spans="8:8" x14ac:dyDescent="0.3">
      <c r="H176" s="24"/>
    </row>
    <row r="177" spans="8:8" x14ac:dyDescent="0.3">
      <c r="H177" s="24"/>
    </row>
    <row r="178" spans="8:8" x14ac:dyDescent="0.3">
      <c r="H178" s="24"/>
    </row>
    <row r="179" spans="8:8" x14ac:dyDescent="0.3">
      <c r="H179" s="24"/>
    </row>
    <row r="180" spans="8:8" x14ac:dyDescent="0.3">
      <c r="H180" s="24"/>
    </row>
    <row r="181" spans="8:8" x14ac:dyDescent="0.3">
      <c r="H181" s="24"/>
    </row>
    <row r="182" spans="8:8" x14ac:dyDescent="0.3">
      <c r="H182" s="24"/>
    </row>
    <row r="183" spans="8:8" x14ac:dyDescent="0.3">
      <c r="H183" s="24"/>
    </row>
    <row r="184" spans="8:8" x14ac:dyDescent="0.3">
      <c r="H184" s="24"/>
    </row>
    <row r="185" spans="8:8" x14ac:dyDescent="0.3">
      <c r="H185" s="24"/>
    </row>
    <row r="186" spans="8:8" x14ac:dyDescent="0.3">
      <c r="H186" s="24"/>
    </row>
    <row r="187" spans="8:8" x14ac:dyDescent="0.3">
      <c r="H187" s="24"/>
    </row>
    <row r="188" spans="8:8" x14ac:dyDescent="0.3">
      <c r="H188" s="24"/>
    </row>
    <row r="189" spans="8:8" x14ac:dyDescent="0.3">
      <c r="H189" s="24"/>
    </row>
    <row r="190" spans="8:8" x14ac:dyDescent="0.3">
      <c r="H190" s="24"/>
    </row>
    <row r="191" spans="8:8" x14ac:dyDescent="0.3">
      <c r="H191" s="24"/>
    </row>
    <row r="192" spans="8:8" x14ac:dyDescent="0.3">
      <c r="H192" s="24"/>
    </row>
    <row r="193" spans="8:8" x14ac:dyDescent="0.3">
      <c r="H193" s="24"/>
    </row>
    <row r="194" spans="8:8" x14ac:dyDescent="0.3">
      <c r="H194" s="24"/>
    </row>
    <row r="195" spans="8:8" x14ac:dyDescent="0.3">
      <c r="H195" s="24"/>
    </row>
    <row r="196" spans="8:8" x14ac:dyDescent="0.3">
      <c r="H196" s="24"/>
    </row>
    <row r="197" spans="8:8" x14ac:dyDescent="0.3">
      <c r="H197" s="24"/>
    </row>
    <row r="198" spans="8:8" x14ac:dyDescent="0.3">
      <c r="H198" s="24"/>
    </row>
    <row r="199" spans="8:8" x14ac:dyDescent="0.3">
      <c r="H199" s="24"/>
    </row>
    <row r="200" spans="8:8" x14ac:dyDescent="0.3">
      <c r="H200" s="24"/>
    </row>
    <row r="201" spans="8:8" x14ac:dyDescent="0.3">
      <c r="H201" s="24"/>
    </row>
    <row r="202" spans="8:8" x14ac:dyDescent="0.3">
      <c r="H202" s="24"/>
    </row>
    <row r="203" spans="8:8" x14ac:dyDescent="0.3">
      <c r="H203" s="24"/>
    </row>
    <row r="204" spans="8:8" x14ac:dyDescent="0.3">
      <c r="H204" s="24"/>
    </row>
    <row r="205" spans="8:8" x14ac:dyDescent="0.3">
      <c r="H205" s="24"/>
    </row>
    <row r="206" spans="8:8" x14ac:dyDescent="0.3">
      <c r="H206" s="24"/>
    </row>
    <row r="207" spans="8:8" x14ac:dyDescent="0.3">
      <c r="H207" s="24"/>
    </row>
    <row r="208" spans="8:8" x14ac:dyDescent="0.3">
      <c r="H208" s="24"/>
    </row>
    <row r="209" spans="8:8" x14ac:dyDescent="0.3">
      <c r="H209" s="24"/>
    </row>
    <row r="210" spans="8:8" x14ac:dyDescent="0.3">
      <c r="H210" s="24"/>
    </row>
    <row r="211" spans="8:8" x14ac:dyDescent="0.3">
      <c r="H211" s="24"/>
    </row>
    <row r="212" spans="8:8" x14ac:dyDescent="0.3">
      <c r="H212" s="24"/>
    </row>
    <row r="213" spans="8:8" x14ac:dyDescent="0.3">
      <c r="H213" s="24"/>
    </row>
    <row r="214" spans="8:8" x14ac:dyDescent="0.3">
      <c r="H214" s="24"/>
    </row>
    <row r="215" spans="8:8" x14ac:dyDescent="0.3">
      <c r="H215" s="24"/>
    </row>
    <row r="216" spans="8:8" x14ac:dyDescent="0.3">
      <c r="H216" s="24"/>
    </row>
    <row r="217" spans="8:8" x14ac:dyDescent="0.3">
      <c r="H217" s="24"/>
    </row>
    <row r="218" spans="8:8" x14ac:dyDescent="0.3">
      <c r="H218" s="24"/>
    </row>
    <row r="219" spans="8:8" x14ac:dyDescent="0.3">
      <c r="H219" s="24"/>
    </row>
    <row r="220" spans="8:8" x14ac:dyDescent="0.3">
      <c r="H220" s="24"/>
    </row>
    <row r="221" spans="8:8" x14ac:dyDescent="0.3">
      <c r="H221" s="24"/>
    </row>
    <row r="222" spans="8:8" x14ac:dyDescent="0.3">
      <c r="H222" s="24"/>
    </row>
    <row r="223" spans="8:8" x14ac:dyDescent="0.3">
      <c r="H223" s="24"/>
    </row>
    <row r="224" spans="8:8" x14ac:dyDescent="0.3">
      <c r="H224" s="24"/>
    </row>
    <row r="225" spans="8:8" x14ac:dyDescent="0.3">
      <c r="H225" s="24"/>
    </row>
    <row r="226" spans="8:8" x14ac:dyDescent="0.3">
      <c r="H226" s="24"/>
    </row>
    <row r="227" spans="8:8" x14ac:dyDescent="0.3">
      <c r="H227" s="24"/>
    </row>
    <row r="228" spans="8:8" x14ac:dyDescent="0.3">
      <c r="H228" s="24"/>
    </row>
    <row r="229" spans="8:8" x14ac:dyDescent="0.3">
      <c r="H229" s="24"/>
    </row>
    <row r="230" spans="8:8" x14ac:dyDescent="0.3">
      <c r="H230" s="24"/>
    </row>
    <row r="231" spans="8:8" x14ac:dyDescent="0.3">
      <c r="H231" s="24"/>
    </row>
    <row r="232" spans="8:8" x14ac:dyDescent="0.3">
      <c r="H232" s="24"/>
    </row>
    <row r="233" spans="8:8" x14ac:dyDescent="0.3">
      <c r="H233" s="24"/>
    </row>
    <row r="234" spans="8:8" x14ac:dyDescent="0.3">
      <c r="H234" s="24"/>
    </row>
    <row r="235" spans="8:8" x14ac:dyDescent="0.3">
      <c r="H235" s="24"/>
    </row>
    <row r="236" spans="8:8" x14ac:dyDescent="0.3">
      <c r="H236" s="24"/>
    </row>
    <row r="237" spans="8:8" x14ac:dyDescent="0.3">
      <c r="H237" s="24"/>
    </row>
    <row r="238" spans="8:8" x14ac:dyDescent="0.3">
      <c r="H238" s="24"/>
    </row>
    <row r="239" spans="8:8" x14ac:dyDescent="0.3">
      <c r="H239" s="24"/>
    </row>
    <row r="240" spans="8:8" x14ac:dyDescent="0.3">
      <c r="H240" s="24"/>
    </row>
    <row r="241" spans="8:8" x14ac:dyDescent="0.3">
      <c r="H241" s="24"/>
    </row>
    <row r="242" spans="8:8" x14ac:dyDescent="0.3">
      <c r="H242" s="24"/>
    </row>
    <row r="243" spans="8:8" x14ac:dyDescent="0.3">
      <c r="H243" s="24"/>
    </row>
    <row r="244" spans="8:8" x14ac:dyDescent="0.3">
      <c r="H244" s="24"/>
    </row>
    <row r="245" spans="8:8" x14ac:dyDescent="0.3">
      <c r="H245" s="24"/>
    </row>
    <row r="246" spans="8:8" x14ac:dyDescent="0.3">
      <c r="H246" s="24"/>
    </row>
    <row r="247" spans="8:8" x14ac:dyDescent="0.3">
      <c r="H247" s="24"/>
    </row>
    <row r="248" spans="8:8" x14ac:dyDescent="0.3">
      <c r="H248" s="24"/>
    </row>
    <row r="249" spans="8:8" x14ac:dyDescent="0.3">
      <c r="H249" s="24"/>
    </row>
    <row r="250" spans="8:8" x14ac:dyDescent="0.3">
      <c r="H250" s="24"/>
    </row>
    <row r="251" spans="8:8" x14ac:dyDescent="0.3">
      <c r="H251" s="24"/>
    </row>
    <row r="252" spans="8:8" x14ac:dyDescent="0.3">
      <c r="H252" s="24"/>
    </row>
    <row r="253" spans="8:8" x14ac:dyDescent="0.3">
      <c r="H253" s="24"/>
    </row>
    <row r="254" spans="8:8" x14ac:dyDescent="0.3">
      <c r="H254" s="24"/>
    </row>
    <row r="255" spans="8:8" x14ac:dyDescent="0.3">
      <c r="H255" s="24"/>
    </row>
    <row r="256" spans="8:8" x14ac:dyDescent="0.3">
      <c r="H256" s="24"/>
    </row>
    <row r="257" spans="8:8" x14ac:dyDescent="0.3">
      <c r="H257" s="24"/>
    </row>
    <row r="258" spans="8:8" x14ac:dyDescent="0.3">
      <c r="H258" s="24"/>
    </row>
    <row r="259" spans="8:8" x14ac:dyDescent="0.3">
      <c r="H259" s="24"/>
    </row>
    <row r="260" spans="8:8" x14ac:dyDescent="0.3">
      <c r="H260" s="24"/>
    </row>
    <row r="261" spans="8:8" x14ac:dyDescent="0.3">
      <c r="H261" s="24"/>
    </row>
    <row r="262" spans="8:8" x14ac:dyDescent="0.3">
      <c r="H262" s="24"/>
    </row>
    <row r="263" spans="8:8" x14ac:dyDescent="0.3">
      <c r="H263" s="24"/>
    </row>
    <row r="264" spans="8:8" x14ac:dyDescent="0.3">
      <c r="H264" s="24"/>
    </row>
    <row r="265" spans="8:8" x14ac:dyDescent="0.3">
      <c r="H265" s="24"/>
    </row>
    <row r="266" spans="8:8" x14ac:dyDescent="0.3">
      <c r="H266" s="24"/>
    </row>
    <row r="267" spans="8:8" x14ac:dyDescent="0.3">
      <c r="H267" s="24"/>
    </row>
    <row r="268" spans="8:8" x14ac:dyDescent="0.3">
      <c r="H268" s="24"/>
    </row>
    <row r="269" spans="8:8" x14ac:dyDescent="0.3">
      <c r="H269" s="24"/>
    </row>
    <row r="270" spans="8:8" x14ac:dyDescent="0.3">
      <c r="H270" s="24"/>
    </row>
    <row r="271" spans="8:8" x14ac:dyDescent="0.3">
      <c r="H271" s="24"/>
    </row>
    <row r="272" spans="8:8" x14ac:dyDescent="0.3">
      <c r="H272" s="24"/>
    </row>
    <row r="273" spans="8:8" x14ac:dyDescent="0.3">
      <c r="H273" s="24"/>
    </row>
    <row r="274" spans="8:8" x14ac:dyDescent="0.3">
      <c r="H274" s="24"/>
    </row>
    <row r="275" spans="8:8" x14ac:dyDescent="0.3">
      <c r="H275" s="24"/>
    </row>
    <row r="276" spans="8:8" x14ac:dyDescent="0.3">
      <c r="H276" s="24"/>
    </row>
    <row r="277" spans="8:8" x14ac:dyDescent="0.3">
      <c r="H277" s="24"/>
    </row>
    <row r="278" spans="8:8" x14ac:dyDescent="0.3">
      <c r="H278" s="24"/>
    </row>
    <row r="279" spans="8:8" x14ac:dyDescent="0.3">
      <c r="H279" s="24"/>
    </row>
    <row r="280" spans="8:8" x14ac:dyDescent="0.3">
      <c r="H280" s="24"/>
    </row>
    <row r="281" spans="8:8" x14ac:dyDescent="0.3">
      <c r="H281" s="24"/>
    </row>
    <row r="282" spans="8:8" x14ac:dyDescent="0.3">
      <c r="H282" s="24"/>
    </row>
    <row r="283" spans="8:8" x14ac:dyDescent="0.3">
      <c r="H283" s="24"/>
    </row>
    <row r="284" spans="8:8" x14ac:dyDescent="0.3">
      <c r="H284" s="24"/>
    </row>
    <row r="285" spans="8:8" x14ac:dyDescent="0.3">
      <c r="H285" s="24"/>
    </row>
    <row r="286" spans="8:8" x14ac:dyDescent="0.3">
      <c r="H286" s="24"/>
    </row>
    <row r="287" spans="8:8" x14ac:dyDescent="0.3">
      <c r="H287" s="24"/>
    </row>
    <row r="288" spans="8:8" x14ac:dyDescent="0.3">
      <c r="H288" s="24"/>
    </row>
    <row r="289" spans="8:8" x14ac:dyDescent="0.3">
      <c r="H289" s="24"/>
    </row>
    <row r="290" spans="8:8" x14ac:dyDescent="0.3">
      <c r="H290" s="24"/>
    </row>
    <row r="291" spans="8:8" x14ac:dyDescent="0.3">
      <c r="H291" s="24"/>
    </row>
    <row r="292" spans="8:8" x14ac:dyDescent="0.3">
      <c r="H292" s="24"/>
    </row>
    <row r="293" spans="8:8" x14ac:dyDescent="0.3">
      <c r="H293" s="24"/>
    </row>
    <row r="294" spans="8:8" x14ac:dyDescent="0.3">
      <c r="H294" s="24"/>
    </row>
    <row r="295" spans="8:8" x14ac:dyDescent="0.3">
      <c r="H295" s="24"/>
    </row>
    <row r="296" spans="8:8" x14ac:dyDescent="0.3">
      <c r="H296" s="24"/>
    </row>
    <row r="297" spans="8:8" x14ac:dyDescent="0.3">
      <c r="H297" s="24"/>
    </row>
    <row r="298" spans="8:8" x14ac:dyDescent="0.3">
      <c r="H298" s="24"/>
    </row>
    <row r="299" spans="8:8" x14ac:dyDescent="0.3">
      <c r="H299" s="24"/>
    </row>
    <row r="300" spans="8:8" x14ac:dyDescent="0.3">
      <c r="H300" s="24"/>
    </row>
    <row r="301" spans="8:8" x14ac:dyDescent="0.3">
      <c r="H301" s="24"/>
    </row>
    <row r="302" spans="8:8" x14ac:dyDescent="0.3">
      <c r="H302" s="24"/>
    </row>
    <row r="303" spans="8:8" x14ac:dyDescent="0.3">
      <c r="H303" s="24"/>
    </row>
    <row r="304" spans="8:8" x14ac:dyDescent="0.3">
      <c r="H304" s="24"/>
    </row>
    <row r="305" spans="8:8" x14ac:dyDescent="0.3">
      <c r="H305" s="24"/>
    </row>
    <row r="306" spans="8:8" x14ac:dyDescent="0.3">
      <c r="H306" s="24"/>
    </row>
    <row r="307" spans="8:8" x14ac:dyDescent="0.3">
      <c r="H307" s="24"/>
    </row>
    <row r="308" spans="8:8" x14ac:dyDescent="0.3">
      <c r="H308" s="24"/>
    </row>
    <row r="309" spans="8:8" x14ac:dyDescent="0.3">
      <c r="H309" s="24"/>
    </row>
    <row r="310" spans="8:8" x14ac:dyDescent="0.3">
      <c r="H310" s="24"/>
    </row>
    <row r="311" spans="8:8" x14ac:dyDescent="0.3">
      <c r="H311" s="24"/>
    </row>
    <row r="312" spans="8:8" x14ac:dyDescent="0.3">
      <c r="H312" s="24"/>
    </row>
    <row r="313" spans="8:8" x14ac:dyDescent="0.3">
      <c r="H313" s="24"/>
    </row>
    <row r="314" spans="8:8" x14ac:dyDescent="0.3">
      <c r="H314" s="24"/>
    </row>
    <row r="315" spans="8:8" x14ac:dyDescent="0.3">
      <c r="H315" s="24"/>
    </row>
    <row r="316" spans="8:8" x14ac:dyDescent="0.3">
      <c r="H316" s="24"/>
    </row>
    <row r="317" spans="8:8" x14ac:dyDescent="0.3">
      <c r="H317" s="24"/>
    </row>
    <row r="318" spans="8:8" x14ac:dyDescent="0.3">
      <c r="H318" s="24"/>
    </row>
    <row r="319" spans="8:8" x14ac:dyDescent="0.3">
      <c r="H319" s="24"/>
    </row>
    <row r="320" spans="8:8" x14ac:dyDescent="0.3">
      <c r="H320" s="24"/>
    </row>
    <row r="321" spans="8:8" x14ac:dyDescent="0.3">
      <c r="H321" s="24"/>
    </row>
    <row r="322" spans="8:8" x14ac:dyDescent="0.3">
      <c r="H322" s="24"/>
    </row>
    <row r="323" spans="8:8" x14ac:dyDescent="0.3">
      <c r="H323" s="24"/>
    </row>
    <row r="324" spans="8:8" x14ac:dyDescent="0.3">
      <c r="H324" s="24"/>
    </row>
    <row r="325" spans="8:8" x14ac:dyDescent="0.3">
      <c r="H325" s="24"/>
    </row>
    <row r="326" spans="8:8" x14ac:dyDescent="0.3">
      <c r="H326" s="24"/>
    </row>
    <row r="327" spans="8:8" x14ac:dyDescent="0.3">
      <c r="H327" s="24"/>
    </row>
    <row r="328" spans="8:8" x14ac:dyDescent="0.3">
      <c r="H328" s="24"/>
    </row>
    <row r="329" spans="8:8" x14ac:dyDescent="0.3">
      <c r="H329" s="24"/>
    </row>
    <row r="330" spans="8:8" x14ac:dyDescent="0.3">
      <c r="H330" s="24"/>
    </row>
    <row r="331" spans="8:8" x14ac:dyDescent="0.3">
      <c r="H331" s="24"/>
    </row>
    <row r="332" spans="8:8" x14ac:dyDescent="0.3">
      <c r="H332" s="24"/>
    </row>
    <row r="333" spans="8:8" x14ac:dyDescent="0.3">
      <c r="H333" s="24"/>
    </row>
    <row r="334" spans="8:8" x14ac:dyDescent="0.3">
      <c r="H334" s="24"/>
    </row>
    <row r="335" spans="8:8" x14ac:dyDescent="0.3">
      <c r="H335" s="24"/>
    </row>
    <row r="336" spans="8:8" x14ac:dyDescent="0.3">
      <c r="H336" s="24"/>
    </row>
    <row r="337" spans="8:8" x14ac:dyDescent="0.3">
      <c r="H337" s="24"/>
    </row>
    <row r="338" spans="8:8" x14ac:dyDescent="0.3">
      <c r="H338" s="24"/>
    </row>
    <row r="339" spans="8:8" x14ac:dyDescent="0.3">
      <c r="H339" s="24"/>
    </row>
    <row r="340" spans="8:8" x14ac:dyDescent="0.3">
      <c r="H340" s="24"/>
    </row>
    <row r="341" spans="8:8" x14ac:dyDescent="0.3">
      <c r="H341" s="24"/>
    </row>
    <row r="342" spans="8:8" x14ac:dyDescent="0.3">
      <c r="H342" s="24"/>
    </row>
    <row r="343" spans="8:8" x14ac:dyDescent="0.3">
      <c r="H343" s="24"/>
    </row>
    <row r="344" spans="8:8" x14ac:dyDescent="0.3">
      <c r="H344" s="24"/>
    </row>
    <row r="345" spans="8:8" x14ac:dyDescent="0.3">
      <c r="H345" s="24"/>
    </row>
    <row r="346" spans="8:8" x14ac:dyDescent="0.3">
      <c r="H346" s="24"/>
    </row>
    <row r="347" spans="8:8" x14ac:dyDescent="0.3">
      <c r="H347" s="24"/>
    </row>
    <row r="348" spans="8:8" x14ac:dyDescent="0.3">
      <c r="H348" s="24"/>
    </row>
    <row r="349" spans="8:8" x14ac:dyDescent="0.3">
      <c r="H349" s="24"/>
    </row>
    <row r="350" spans="8:8" x14ac:dyDescent="0.3">
      <c r="H350" s="24"/>
    </row>
    <row r="351" spans="8:8" x14ac:dyDescent="0.3">
      <c r="H351" s="24"/>
    </row>
    <row r="352" spans="8:8" x14ac:dyDescent="0.3">
      <c r="H352" s="24"/>
    </row>
    <row r="353" spans="8:8" x14ac:dyDescent="0.3">
      <c r="H353" s="24"/>
    </row>
    <row r="354" spans="8:8" x14ac:dyDescent="0.3">
      <c r="H354" s="24"/>
    </row>
    <row r="355" spans="8:8" x14ac:dyDescent="0.3">
      <c r="H355" s="24"/>
    </row>
    <row r="356" spans="8:8" x14ac:dyDescent="0.3">
      <c r="H356" s="24"/>
    </row>
    <row r="357" spans="8:8" x14ac:dyDescent="0.3">
      <c r="H357" s="24"/>
    </row>
    <row r="358" spans="8:8" x14ac:dyDescent="0.3">
      <c r="H358" s="24"/>
    </row>
    <row r="359" spans="8:8" x14ac:dyDescent="0.3">
      <c r="H359" s="24"/>
    </row>
    <row r="360" spans="8:8" x14ac:dyDescent="0.3">
      <c r="H360" s="24"/>
    </row>
    <row r="361" spans="8:8" x14ac:dyDescent="0.3">
      <c r="H361" s="24"/>
    </row>
    <row r="362" spans="8:8" x14ac:dyDescent="0.3">
      <c r="H362" s="24"/>
    </row>
    <row r="363" spans="8:8" x14ac:dyDescent="0.3">
      <c r="H363" s="24"/>
    </row>
    <row r="364" spans="8:8" x14ac:dyDescent="0.3">
      <c r="H364" s="24"/>
    </row>
    <row r="365" spans="8:8" x14ac:dyDescent="0.3">
      <c r="H365" s="24"/>
    </row>
    <row r="366" spans="8:8" x14ac:dyDescent="0.3">
      <c r="H366" s="24"/>
    </row>
  </sheetData>
  <mergeCells count="10">
    <mergeCell ref="L23:M23"/>
    <mergeCell ref="K14:T14"/>
    <mergeCell ref="L9:S10"/>
    <mergeCell ref="L11:R11"/>
    <mergeCell ref="M16:S16"/>
    <mergeCell ref="L5:P5"/>
    <mergeCell ref="M6:P6"/>
    <mergeCell ref="L3:S4"/>
    <mergeCell ref="M17:R17"/>
    <mergeCell ref="L22:S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ADC6-C130-4035-9444-E1A43D8A0415}">
  <dimension ref="A3:B9"/>
  <sheetViews>
    <sheetView workbookViewId="0">
      <selection activeCell="D4" sqref="D4"/>
    </sheetView>
  </sheetViews>
  <sheetFormatPr defaultRowHeight="14.4" x14ac:dyDescent="0.3"/>
  <cols>
    <col min="1" max="1" width="12.5546875" bestFit="1" customWidth="1"/>
    <col min="2" max="2" width="49.6640625" bestFit="1" customWidth="1"/>
  </cols>
  <sheetData>
    <row r="3" spans="1:2" ht="15.6" x14ac:dyDescent="0.3">
      <c r="A3" s="45" t="s">
        <v>93</v>
      </c>
      <c r="B3" s="44" t="s">
        <v>95</v>
      </c>
    </row>
    <row r="4" spans="1:2" ht="15.6" x14ac:dyDescent="0.3">
      <c r="A4" s="46" t="s">
        <v>36</v>
      </c>
      <c r="B4" s="47">
        <v>1928</v>
      </c>
    </row>
    <row r="5" spans="1:2" ht="15.6" x14ac:dyDescent="0.3">
      <c r="A5" s="46" t="s">
        <v>29</v>
      </c>
      <c r="B5" s="47">
        <v>3650</v>
      </c>
    </row>
    <row r="6" spans="1:2" ht="15.6" x14ac:dyDescent="0.3">
      <c r="A6" s="46" t="s">
        <v>23</v>
      </c>
      <c r="B6" s="47">
        <v>7550</v>
      </c>
    </row>
    <row r="7" spans="1:2" ht="15.6" x14ac:dyDescent="0.3">
      <c r="A7" s="46" t="s">
        <v>26</v>
      </c>
      <c r="B7" s="47">
        <v>2180</v>
      </c>
    </row>
    <row r="8" spans="1:2" ht="15.6" x14ac:dyDescent="0.3">
      <c r="A8" s="46" t="s">
        <v>33</v>
      </c>
      <c r="B8" s="47">
        <v>1235</v>
      </c>
    </row>
    <row r="9" spans="1:2" ht="15.6" x14ac:dyDescent="0.3">
      <c r="A9" s="46" t="s">
        <v>94</v>
      </c>
      <c r="B9" s="47">
        <v>16543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Q1.</vt:lpstr>
      <vt:lpstr>Q.2</vt:lpstr>
      <vt:lpstr>Q.3</vt:lpstr>
      <vt:lpstr>Q.4 ,5, 6 ,8</vt:lpstr>
      <vt:lpstr>Q7.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Baitha</dc:creator>
  <cp:lastModifiedBy>Sahil Baitha</cp:lastModifiedBy>
  <dcterms:created xsi:type="dcterms:W3CDTF">2025-12-04T05:40:14Z</dcterms:created>
  <dcterms:modified xsi:type="dcterms:W3CDTF">2025-12-11T03:49:23Z</dcterms:modified>
</cp:coreProperties>
</file>